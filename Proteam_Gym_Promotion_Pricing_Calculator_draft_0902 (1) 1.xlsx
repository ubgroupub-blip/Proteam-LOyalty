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559CA414-98DE-462F-A037-20A194E719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icing Calculator" sheetId="1" r:id="rId1"/>
    <sheet name="Instructions" sheetId="4" r:id="rId2"/>
    <sheet name="Package Matrix" sheetId="2" r:id="rId3"/>
    <sheet name="Customer Pricing Log" sheetId="3" r:id="rId4"/>
  </sheets>
  <calcPr calcId="191028" iterateDelta="1E-4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H24" i="1"/>
  <c r="H23" i="1"/>
  <c r="H22" i="1"/>
  <c r="E11" i="1"/>
  <c r="H11" i="4"/>
  <c r="F12" i="4" l="1"/>
  <c r="F11" i="4"/>
  <c r="E11" i="4"/>
  <c r="D11" i="4"/>
  <c r="C11" i="4"/>
  <c r="C6" i="4"/>
  <c r="D6" i="4"/>
  <c r="D4" i="4" s="1"/>
  <c r="E6" i="4"/>
  <c r="E4" i="4" s="1"/>
  <c r="F6" i="4"/>
  <c r="B15" i="1" l="1"/>
  <c r="C15" i="1" s="1"/>
  <c r="E4" i="1"/>
  <c r="E8" i="1"/>
  <c r="E5" i="1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E13" i="1"/>
  <c r="C7" i="2"/>
  <c r="D7" i="2" s="1"/>
  <c r="C6" i="2"/>
  <c r="D6" i="2" s="1"/>
  <c r="C5" i="2"/>
  <c r="D5" i="2" s="1"/>
  <c r="B13" i="4"/>
  <c r="C13" i="4" s="1"/>
  <c r="A16" i="4"/>
  <c r="B16" i="4" s="1"/>
  <c r="A15" i="4"/>
  <c r="B15" i="4" s="1"/>
  <c r="A14" i="4"/>
  <c r="B14" i="4" s="1"/>
  <c r="L51" i="3"/>
  <c r="F51" i="3"/>
  <c r="L50" i="3"/>
  <c r="F50" i="3"/>
  <c r="L49" i="3"/>
  <c r="F49" i="3"/>
  <c r="L48" i="3"/>
  <c r="F48" i="3"/>
  <c r="L47" i="3"/>
  <c r="F47" i="3"/>
  <c r="L46" i="3"/>
  <c r="F46" i="3"/>
  <c r="L45" i="3"/>
  <c r="F45" i="3"/>
  <c r="L44" i="3"/>
  <c r="F44" i="3"/>
  <c r="L43" i="3"/>
  <c r="F43" i="3"/>
  <c r="L42" i="3"/>
  <c r="F42" i="3"/>
  <c r="L41" i="3"/>
  <c r="F41" i="3"/>
  <c r="L40" i="3"/>
  <c r="F40" i="3"/>
  <c r="L39" i="3"/>
  <c r="F39" i="3"/>
  <c r="L38" i="3"/>
  <c r="F38" i="3"/>
  <c r="L37" i="3"/>
  <c r="F37" i="3"/>
  <c r="L36" i="3"/>
  <c r="F36" i="3"/>
  <c r="L35" i="3"/>
  <c r="F35" i="3"/>
  <c r="L34" i="3"/>
  <c r="F34" i="3"/>
  <c r="L33" i="3"/>
  <c r="F33" i="3"/>
  <c r="L32" i="3"/>
  <c r="F32" i="3"/>
  <c r="L31" i="3"/>
  <c r="F31" i="3"/>
  <c r="L30" i="3"/>
  <c r="F30" i="3"/>
  <c r="L29" i="3"/>
  <c r="F29" i="3"/>
  <c r="L28" i="3"/>
  <c r="F28" i="3"/>
  <c r="L27" i="3"/>
  <c r="F27" i="3"/>
  <c r="L26" i="3"/>
  <c r="F26" i="3"/>
  <c r="L25" i="3"/>
  <c r="F25" i="3"/>
  <c r="L24" i="3"/>
  <c r="F24" i="3"/>
  <c r="L23" i="3"/>
  <c r="F23" i="3"/>
  <c r="L22" i="3"/>
  <c r="F22" i="3"/>
  <c r="L21" i="3"/>
  <c r="F21" i="3"/>
  <c r="L20" i="3"/>
  <c r="F20" i="3"/>
  <c r="L19" i="3"/>
  <c r="F19" i="3"/>
  <c r="L18" i="3"/>
  <c r="F18" i="3"/>
  <c r="L17" i="3"/>
  <c r="F17" i="3"/>
  <c r="L16" i="3"/>
  <c r="F16" i="3"/>
  <c r="L15" i="3"/>
  <c r="F15" i="3"/>
  <c r="L14" i="3"/>
  <c r="F14" i="3"/>
  <c r="L13" i="3"/>
  <c r="F13" i="3"/>
  <c r="L12" i="3"/>
  <c r="F12" i="3"/>
  <c r="L11" i="3"/>
  <c r="F11" i="3"/>
  <c r="L10" i="3"/>
  <c r="F10" i="3"/>
  <c r="L9" i="3"/>
  <c r="F9" i="3"/>
  <c r="L8" i="3"/>
  <c r="F8" i="3"/>
  <c r="L7" i="3"/>
  <c r="F7" i="3"/>
  <c r="L6" i="3"/>
  <c r="F6" i="3"/>
  <c r="L5" i="3"/>
  <c r="F5" i="3"/>
  <c r="L4" i="3"/>
  <c r="F4" i="3"/>
  <c r="L3" i="3"/>
  <c r="F3" i="3"/>
  <c r="L2" i="3"/>
  <c r="F2" i="3"/>
  <c r="D4" i="2"/>
  <c r="E7" i="1"/>
  <c r="I2" i="3" l="1"/>
  <c r="J2" i="3" s="1"/>
  <c r="K2" i="3" s="1"/>
  <c r="E6" i="1"/>
  <c r="E9" i="1" s="1"/>
  <c r="D14" i="4"/>
  <c r="I5" i="3"/>
  <c r="J5" i="3" s="1"/>
  <c r="K5" i="3" s="1"/>
  <c r="I8" i="3"/>
  <c r="J8" i="3" s="1"/>
  <c r="K8" i="3" s="1"/>
  <c r="I14" i="3"/>
  <c r="J14" i="3" s="1"/>
  <c r="K14" i="3" s="1"/>
  <c r="I17" i="3"/>
  <c r="J17" i="3" s="1"/>
  <c r="K17" i="3" s="1"/>
  <c r="I20" i="3"/>
  <c r="J20" i="3" s="1"/>
  <c r="K20" i="3" s="1"/>
  <c r="I23" i="3"/>
  <c r="J23" i="3" s="1"/>
  <c r="K23" i="3" s="1"/>
  <c r="I26" i="3"/>
  <c r="J26" i="3" s="1"/>
  <c r="K26" i="3" s="1"/>
  <c r="I29" i="3"/>
  <c r="J29" i="3" s="1"/>
  <c r="K29" i="3" s="1"/>
  <c r="I32" i="3"/>
  <c r="J32" i="3" s="1"/>
  <c r="K32" i="3" s="1"/>
  <c r="I38" i="3"/>
  <c r="J38" i="3" s="1"/>
  <c r="K38" i="3" s="1"/>
  <c r="I41" i="3"/>
  <c r="J41" i="3" s="1"/>
  <c r="K41" i="3" s="1"/>
  <c r="I44" i="3"/>
  <c r="J44" i="3" s="1"/>
  <c r="K44" i="3" s="1"/>
  <c r="I50" i="3"/>
  <c r="J50" i="3" s="1"/>
  <c r="K50" i="3" s="1"/>
  <c r="C15" i="4"/>
  <c r="D16" i="4" s="1"/>
  <c r="C14" i="4"/>
  <c r="D15" i="4" s="1"/>
  <c r="C16" i="4"/>
  <c r="I40" i="3"/>
  <c r="J40" i="3" s="1"/>
  <c r="K40" i="3" s="1"/>
  <c r="I43" i="3"/>
  <c r="J43" i="3" s="1"/>
  <c r="K43" i="3" s="1"/>
  <c r="I49" i="3"/>
  <c r="J49" i="3" s="1"/>
  <c r="K49" i="3" s="1"/>
  <c r="I3" i="3"/>
  <c r="J3" i="3" s="1"/>
  <c r="K3" i="3" s="1"/>
  <c r="I6" i="3"/>
  <c r="J6" i="3" s="1"/>
  <c r="K6" i="3" s="1"/>
  <c r="I9" i="3"/>
  <c r="J9" i="3" s="1"/>
  <c r="K9" i="3" s="1"/>
  <c r="I12" i="3"/>
  <c r="J12" i="3" s="1"/>
  <c r="K12" i="3" s="1"/>
  <c r="I15" i="3"/>
  <c r="J15" i="3" s="1"/>
  <c r="K15" i="3" s="1"/>
  <c r="I18" i="3"/>
  <c r="J18" i="3" s="1"/>
  <c r="K18" i="3" s="1"/>
  <c r="I24" i="3"/>
  <c r="J24" i="3" s="1"/>
  <c r="K24" i="3" s="1"/>
  <c r="I27" i="3"/>
  <c r="J27" i="3" s="1"/>
  <c r="K27" i="3" s="1"/>
  <c r="I30" i="3"/>
  <c r="J30" i="3" s="1"/>
  <c r="K30" i="3" s="1"/>
  <c r="I36" i="3"/>
  <c r="J36" i="3" s="1"/>
  <c r="K36" i="3" s="1"/>
  <c r="I51" i="3"/>
  <c r="J51" i="3" s="1"/>
  <c r="K51" i="3" s="1"/>
  <c r="I4" i="3"/>
  <c r="J4" i="3" s="1"/>
  <c r="K4" i="3" s="1"/>
  <c r="I7" i="3"/>
  <c r="J7" i="3" s="1"/>
  <c r="K7" i="3" s="1"/>
  <c r="I13" i="3"/>
  <c r="J13" i="3" s="1"/>
  <c r="K13" i="3" s="1"/>
  <c r="I16" i="3"/>
  <c r="J16" i="3" s="1"/>
  <c r="K16" i="3" s="1"/>
  <c r="I19" i="3"/>
  <c r="J19" i="3" s="1"/>
  <c r="K19" i="3" s="1"/>
  <c r="I25" i="3"/>
  <c r="J25" i="3" s="1"/>
  <c r="K25" i="3" s="1"/>
  <c r="I28" i="3"/>
  <c r="J28" i="3" s="1"/>
  <c r="K28" i="3" s="1"/>
  <c r="I39" i="3"/>
  <c r="J39" i="3" s="1"/>
  <c r="K39" i="3" s="1"/>
  <c r="I42" i="3"/>
  <c r="J42" i="3" s="1"/>
  <c r="K42" i="3" s="1"/>
  <c r="I45" i="3"/>
  <c r="J45" i="3" s="1"/>
  <c r="K45" i="3" s="1"/>
  <c r="I48" i="3"/>
  <c r="J48" i="3" s="1"/>
  <c r="K48" i="3" s="1"/>
  <c r="I31" i="3"/>
  <c r="J31" i="3" s="1"/>
  <c r="K31" i="3" s="1"/>
  <c r="I34" i="3"/>
  <c r="J34" i="3" s="1"/>
  <c r="K34" i="3" s="1"/>
  <c r="I37" i="3"/>
  <c r="J37" i="3" s="1"/>
  <c r="K37" i="3" s="1"/>
  <c r="I11" i="3"/>
  <c r="J11" i="3" s="1"/>
  <c r="K11" i="3" s="1"/>
  <c r="I22" i="3"/>
  <c r="J22" i="3" s="1"/>
  <c r="K22" i="3" s="1"/>
  <c r="I33" i="3"/>
  <c r="J33" i="3" s="1"/>
  <c r="K33" i="3" s="1"/>
  <c r="I47" i="3"/>
  <c r="J47" i="3" s="1"/>
  <c r="K47" i="3" s="1"/>
  <c r="I10" i="3"/>
  <c r="J10" i="3" s="1"/>
  <c r="K10" i="3" s="1"/>
  <c r="I21" i="3"/>
  <c r="J21" i="3" s="1"/>
  <c r="K21" i="3" s="1"/>
  <c r="I35" i="3"/>
  <c r="J35" i="3" s="1"/>
  <c r="K35" i="3" s="1"/>
  <c r="I46" i="3"/>
  <c r="J46" i="3" s="1"/>
  <c r="K46" i="3" s="1"/>
  <c r="E10" i="1" l="1"/>
  <c r="E12" i="1" s="1"/>
  <c r="E14" i="4"/>
  <c r="E15" i="4"/>
  <c r="E16" i="4"/>
</calcChain>
</file>

<file path=xl/sharedStrings.xml><?xml version="1.0" encoding="utf-8"?>
<sst xmlns="http://schemas.openxmlformats.org/spreadsheetml/2006/main" count="107" uniqueCount="75">
  <si>
    <t>GYM PROMOTION PRICING CALCULATOR</t>
  </si>
  <si>
    <t>Customer Name</t>
  </si>
  <si>
    <t>PRICING RESULT</t>
  </si>
  <si>
    <t>Customer ID</t>
  </si>
  <si>
    <t>Package Discount</t>
  </si>
  <si>
    <t>Base Monthly Price</t>
  </si>
  <si>
    <t>Oorchilj bolno</t>
  </si>
  <si>
    <t>Loyalty Discount</t>
  </si>
  <si>
    <t>Months Already Attended</t>
  </si>
  <si>
    <t>Total Discount</t>
  </si>
  <si>
    <t>New Package (months)</t>
  </si>
  <si>
    <t>Membership Score/Expected Months</t>
  </si>
  <si>
    <t>Promotion Tier</t>
  </si>
  <si>
    <t>Promotional Monthly Price</t>
  </si>
  <si>
    <t>Total Current Package Price</t>
  </si>
  <si>
    <t>Normal Package Price</t>
  </si>
  <si>
    <t>Current Package Savings</t>
  </si>
  <si>
    <t>Renewal Monthly Price*</t>
  </si>
  <si>
    <t>odooo</t>
  </si>
  <si>
    <t>shine</t>
  </si>
  <si>
    <t>3-5 months</t>
  </si>
  <si>
    <t>6-11 months</t>
  </si>
  <si>
    <t>12-23 months</t>
  </si>
  <si>
    <t>24+months</t>
  </si>
  <si>
    <t>HOW TO USE</t>
  </si>
  <si>
    <t>Purpose</t>
  </si>
  <si>
    <t>Calculate gym promotional pricing for 1, 3, 6 and 12-month packages using package commitment and existing customer loyalty.</t>
  </si>
  <si>
    <t>Step 1</t>
  </si>
  <si>
    <t>Enter customer name/ID, base monthly price, months already attended, and the new package length.</t>
  </si>
  <si>
    <t>Step 2</t>
  </si>
  <si>
    <t>The calculator automatically applies package and loyalty discounts.</t>
  </si>
  <si>
    <t>Step 3</t>
  </si>
  <si>
    <t>Total discount is capped at 30%.</t>
  </si>
  <si>
    <t>Step 4</t>
  </si>
  <si>
    <t>Renewal Monthly Price estimates the next renewal price based on total accumulated membership duration.</t>
  </si>
  <si>
    <t>1 month</t>
  </si>
  <si>
    <t>3 months</t>
  </si>
  <si>
    <t>6 months</t>
  </si>
  <si>
    <t>12 months</t>
  </si>
  <si>
    <t>Package extention discounts</t>
  </si>
  <si>
    <t>1 month 10%; 3 months 15%; 6 months 20%; 12 months 25%.</t>
  </si>
  <si>
    <t>Loyalty discounts</t>
  </si>
  <si>
    <t>3–5 months 5%; 6–11 months 8%; 12–23 months 12%; 24+ months 15%.</t>
  </si>
  <si>
    <t>Duration tiers</t>
  </si>
  <si>
    <t>Expected duration = months already attended + new package. Longer duration moves the customer into stronger loyalty tiers.</t>
  </si>
  <si>
    <t>Customer log</t>
  </si>
  <si>
    <t>Use Customer Pricing Log for multiple customers. Fill columns A–E; calculation columns F–M update automatically.</t>
  </si>
  <si>
    <t>asd</t>
  </si>
  <si>
    <t>s</t>
  </si>
  <si>
    <t>PACKAGE DISCOUNT MATRIX</t>
  </si>
  <si>
    <t>Package Months</t>
  </si>
  <si>
    <t>Discount</t>
  </si>
  <si>
    <t>Monthly Price @ ₮400,000</t>
  </si>
  <si>
    <t>Total Package Price</t>
  </si>
  <si>
    <t>LOYALTY DISCOUNT</t>
  </si>
  <si>
    <t>Existing Months</t>
  </si>
  <si>
    <t>MEMBERSHIP SCORE / EXPECTED DURATION TIERS</t>
  </si>
  <si>
    <t>Total Months</t>
  </si>
  <si>
    <t>Tier</t>
  </si>
  <si>
    <t>Maximum Discount</t>
  </si>
  <si>
    <t>Starter</t>
  </si>
  <si>
    <t>Growing</t>
  </si>
  <si>
    <t>Committed</t>
  </si>
  <si>
    <t>Loyal</t>
  </si>
  <si>
    <t>Long-Term</t>
  </si>
  <si>
    <t>Premium loyal</t>
  </si>
  <si>
    <t>Months Attended</t>
  </si>
  <si>
    <t>Total Expected Months</t>
  </si>
  <si>
    <t>Applied Discount</t>
  </si>
  <si>
    <t>Promo Monthly Price</t>
  </si>
  <si>
    <t>Package Total</t>
  </si>
  <si>
    <t>Renewal Monthly Price</t>
  </si>
  <si>
    <t>Notes</t>
  </si>
  <si>
    <t>Odonchimeg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</si>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</sst>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\ &quot;₮&quot;"/>
    <numFmt numFmtId="165" formatCode="0.0%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6">
    <xf numFmtId="0" fontId="0" fillId="0" borderId="0" xfId="0"/>
    <xf numFmtId="0" fontId="2" fillId="3" borderId="1" xfId="0" applyFont="1" applyFill="1" applyBorder="1"/>
    <xf numFmtId="0" fontId="0" fillId="4" borderId="1" xfId="0" applyFill="1" applyBorder="1"/>
    <xf numFmtId="0" fontId="3" fillId="2" borderId="0" xfId="0" applyFont="1" applyFill="1"/>
    <xf numFmtId="165" fontId="0" fillId="0" borderId="1" xfId="0" applyNumberFormat="1" applyBorder="1"/>
    <xf numFmtId="164" fontId="0" fillId="4" borderId="1" xfId="0" applyNumberFormat="1" applyFill="1" applyBorder="1"/>
    <xf numFmtId="165" fontId="2" fillId="5" borderId="1" xfId="0" applyNumberFormat="1" applyFont="1" applyFill="1" applyBorder="1"/>
    <xf numFmtId="1" fontId="0" fillId="0" borderId="1" xfId="0" applyNumberFormat="1" applyBorder="1"/>
    <xf numFmtId="0" fontId="0" fillId="0" borderId="1" xfId="0" applyBorder="1"/>
    <xf numFmtId="164" fontId="2" fillId="5" borderId="1" xfId="0" applyNumberFormat="1" applyFont="1" applyFill="1" applyBorder="1"/>
    <xf numFmtId="164" fontId="0" fillId="0" borderId="1" xfId="0" applyNumberFormat="1" applyBorder="1"/>
    <xf numFmtId="0" fontId="3" fillId="6" borderId="0" xfId="0" applyFont="1" applyFill="1"/>
    <xf numFmtId="9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horizontal="center" wrapText="1"/>
    </xf>
    <xf numFmtId="165" fontId="0" fillId="0" borderId="0" xfId="0" applyNumberFormat="1"/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9" fontId="0" fillId="7" borderId="0" xfId="0" applyNumberFormat="1" applyFill="1" applyAlignment="1">
      <alignment vertical="center"/>
    </xf>
    <xf numFmtId="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7" fillId="8" borderId="0" xfId="0" applyFont="1" applyFill="1" applyAlignment="1">
      <alignment vertical="center"/>
    </xf>
    <xf numFmtId="166" fontId="0" fillId="0" borderId="1" xfId="1" applyNumberFormat="1" applyFont="1" applyBorder="1"/>
    <xf numFmtId="43" fontId="0" fillId="0" borderId="0" xfId="1" applyFont="1"/>
    <xf numFmtId="43" fontId="0" fillId="0" borderId="0" xfId="0" applyNumberFormat="1"/>
    <xf numFmtId="11" fontId="0" fillId="0" borderId="0" xfId="0" applyNumberFormat="1"/>
    <xf numFmtId="11" fontId="0" fillId="0" borderId="0" xfId="0" applyNumberFormat="1" applyAlignment="1">
      <alignment vertical="center"/>
    </xf>
    <xf numFmtId="43" fontId="0" fillId="0" borderId="0" xfId="1" applyFont="1" applyAlignment="1">
      <alignment vertical="center"/>
    </xf>
    <xf numFmtId="166" fontId="0" fillId="0" borderId="0" xfId="1" applyNumberFormat="1" applyFont="1" applyAlignment="1">
      <alignment vertical="center"/>
    </xf>
    <xf numFmtId="0" fontId="3" fillId="2" borderId="0" xfId="0" applyFont="1" applyFill="1"/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2" borderId="0" xfId="0" applyFont="1" applyFill="1"/>
  </cellXfs>
  <cellStyles count="2">
    <cellStyle name="Comma" xfId="1" builtinId="3"/>
    <cellStyle name="Normal" xfId="0" builtinId="0"/>
  </cellStyles>
  <dxfs count="3">
    <dxf>
      <numFmt numFmtId="165" formatCode="0.0%"/>
    </dxf>
    <dxf>
      <numFmt numFmtId="165" formatCode="0.0%"/>
    </dxf>
    <dxf>
      <numFmt numFmtId="164" formatCode="#,##0\ &quot;₮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PricingLog" displayName="CustomerPricingLog" ref="A1:N51">
  <autoFilter ref="A1:N51" xr:uid="{00000000-0009-0000-0100-000001000000}"/>
  <tableColumns count="14">
    <tableColumn id="1" xr3:uid="{00000000-0010-0000-0000-000001000000}" name="Customer ID"/>
    <tableColumn id="2" xr3:uid="{00000000-0010-0000-0000-000002000000}" name="Customer Name"/>
    <tableColumn id="3" xr3:uid="{00000000-0010-0000-0000-000003000000}" name="Base Monthly Price" dataDxfId="2"/>
    <tableColumn id="4" xr3:uid="{00000000-0010-0000-0000-000004000000}" name="Months Attended"/>
    <tableColumn id="5" xr3:uid="{00000000-0010-0000-0000-000005000000}" name="Package Months"/>
    <tableColumn id="6" xr3:uid="{00000000-0010-0000-0000-000006000000}" name="Total Expected Months"/>
    <tableColumn id="7" xr3:uid="{00000000-0010-0000-0000-000007000000}" name="Package Discount" dataDxfId="1">
      <calculatedColumnFormula>IF(CustomerPricingLog[[#This Row],[Months Attended]]=0,0,IF(E2=1,'Package Matrix'!$B$4,IF(E2=3,'Package Matrix'!$B$5,IF(E2=6,'Package Matrix'!$B$6,IF(E2=12,'Package Matrix'!$B$7,0)))))</calculatedColumnFormula>
    </tableColumn>
    <tableColumn id="8" xr3:uid="{00000000-0010-0000-0000-000008000000}" name="Loyalty Discount" dataDxfId="0">
      <calculatedColumnFormula>IF(D2&lt;3,'Package Matrix'!$B$12,IF(D2&lt;6,'Package Matrix'!$B$13,IF(D2&lt;12,'Package Matrix'!$B$14,IF(D2&lt;24,'Package Matrix'!$B$15,'Package Matrix'!$B$16))))</calculatedColumnFormula>
    </tableColumn>
    <tableColumn id="9" xr3:uid="{00000000-0010-0000-0000-000009000000}" name="Applied Discount"/>
    <tableColumn id="10" xr3:uid="{00000000-0010-0000-0000-00000A000000}" name="Promo Monthly Price"/>
    <tableColumn id="11" xr3:uid="{00000000-0010-0000-0000-00000B000000}" name="Package Total"/>
    <tableColumn id="12" xr3:uid="{00000000-0010-0000-0000-00000C000000}" name="Renewal Monthly Price"/>
    <tableColumn id="13" xr3:uid="{00000000-0010-0000-0000-00000D000000}" name="Promotion Tier">
      <calculatedColumnFormula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calculatedColumnFormula>
    </tableColumn>
    <tableColumn id="14" xr3:uid="{00000000-0010-0000-0000-00000E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showGridLines="0" tabSelected="1" workbookViewId="0">
      <selection activeCell="B7" sqref="B7"/>
    </sheetView>
  </sheetViews>
  <sheetFormatPr defaultRowHeight="14.4" x14ac:dyDescent="0.3"/>
  <cols>
    <col min="1" max="1" width="28" customWidth="1"/>
    <col min="2" max="2" width="25.109375" customWidth="1"/>
    <col min="3" max="3" width="14" customWidth="1"/>
    <col min="4" max="4" width="36" customWidth="1"/>
    <col min="5" max="5" width="22" customWidth="1"/>
    <col min="6" max="6" width="14" customWidth="1"/>
    <col min="8" max="8" width="10.109375" bestFit="1" customWidth="1"/>
    <col min="9" max="11" width="9.109375" bestFit="1" customWidth="1"/>
  </cols>
  <sheetData>
    <row r="1" spans="1:6" ht="21" x14ac:dyDescent="0.4">
      <c r="A1" s="32" t="s">
        <v>0</v>
      </c>
      <c r="B1" s="30"/>
      <c r="C1" s="30"/>
      <c r="D1" s="30"/>
      <c r="E1" s="30"/>
      <c r="F1" s="30"/>
    </row>
    <row r="3" spans="1:6" x14ac:dyDescent="0.3">
      <c r="A3" s="1" t="s">
        <v>1</v>
      </c>
      <c r="B3" s="2"/>
      <c r="D3" s="29" t="s">
        <v>2</v>
      </c>
      <c r="E3" s="30"/>
    </row>
    <row r="4" spans="1:6" x14ac:dyDescent="0.3">
      <c r="A4" s="1" t="s">
        <v>3</v>
      </c>
      <c r="B4" s="2"/>
      <c r="D4" s="1" t="s">
        <v>4</v>
      </c>
      <c r="E4" s="4">
        <f>IF(B6=0,0,IF(B7=1,Instructions!C8,IF(B7=3,Instructions!D8,IF(B7=6,Instructions!E8,IF(B7=12,Instructions!F8,0)))))</f>
        <v>0.15</v>
      </c>
    </row>
    <row r="5" spans="1:6" x14ac:dyDescent="0.3">
      <c r="A5" s="1" t="s">
        <v>5</v>
      </c>
      <c r="B5" s="5">
        <v>400000</v>
      </c>
      <c r="C5" t="s">
        <v>6</v>
      </c>
      <c r="D5" s="1" t="s">
        <v>7</v>
      </c>
      <c r="E5" s="4">
        <f>IF(B6&lt;3,0,IF(B6&lt;6,Instructions!C10,IF(B6&lt;12,Instructions!D10,IF(B6&lt;24,Instructions!E10,Instructions!F10))))</f>
        <v>0.12</v>
      </c>
    </row>
    <row r="6" spans="1:6" x14ac:dyDescent="0.3">
      <c r="A6" s="1" t="s">
        <v>8</v>
      </c>
      <c r="B6" s="2">
        <v>24</v>
      </c>
      <c r="C6" t="s">
        <v>6</v>
      </c>
      <c r="D6" s="1" t="s">
        <v>9</v>
      </c>
      <c r="E6" s="6">
        <f>E4+E5</f>
        <v>0.27</v>
      </c>
    </row>
    <row r="7" spans="1:6" x14ac:dyDescent="0.3">
      <c r="A7" s="1" t="s">
        <v>10</v>
      </c>
      <c r="B7" s="2">
        <v>3</v>
      </c>
      <c r="C7" t="s">
        <v>6</v>
      </c>
      <c r="D7" s="1" t="s">
        <v>11</v>
      </c>
      <c r="E7" s="7">
        <f>B6+B7</f>
        <v>27</v>
      </c>
    </row>
    <row r="8" spans="1:6" x14ac:dyDescent="0.3">
      <c r="D8" s="1" t="s">
        <v>12</v>
      </c>
      <c r="E8" s="8" t="str">
        <f>IF(B6&lt;3,"Starter",IF(B6&lt;6,"Growing",IF(B6&lt;9,"Committed",IF(B6&lt;12,"Loyal",IF(B6&lt;18,"Long-Term",IF(B6&lt;120,"Premium Loyal"))))))</f>
        <v>Premium Loyal</v>
      </c>
    </row>
    <row r="9" spans="1:6" x14ac:dyDescent="0.3">
      <c r="D9" s="1" t="s">
        <v>13</v>
      </c>
      <c r="E9" s="9">
        <f>B5*(1-E6)</f>
        <v>292000</v>
      </c>
    </row>
    <row r="10" spans="1:6" x14ac:dyDescent="0.3">
      <c r="D10" s="1" t="s">
        <v>14</v>
      </c>
      <c r="E10" s="9">
        <f>E9*B7</f>
        <v>876000</v>
      </c>
    </row>
    <row r="11" spans="1:6" x14ac:dyDescent="0.3">
      <c r="D11" s="1" t="s">
        <v>15</v>
      </c>
      <c r="E11" s="10">
        <f>B5*B7</f>
        <v>1200000</v>
      </c>
    </row>
    <row r="12" spans="1:6" x14ac:dyDescent="0.3">
      <c r="D12" s="1" t="s">
        <v>16</v>
      </c>
      <c r="E12" s="9">
        <f>E11-E10</f>
        <v>324000</v>
      </c>
    </row>
    <row r="13" spans="1:6" hidden="1" x14ac:dyDescent="0.3">
      <c r="D13" s="1" t="s">
        <v>17</v>
      </c>
      <c r="E13" s="22">
        <f>B5*(1-MIN(30%,IF(B6+B7&lt;3,'Package Matrix'!C21,IF(B6+B7&lt;6,'Package Matrix'!C22%,IF(B6+B7&lt;9,'Package Matrix'!C24%,IF(B6+B7&lt;12,'Package Matrix'!C25,IF(B6+B7&lt;24,'Package Matrix'!C26)))))))</f>
        <v>400000</v>
      </c>
    </row>
    <row r="14" spans="1:6" x14ac:dyDescent="0.3">
      <c r="B14" s="25">
        <v>45000000</v>
      </c>
    </row>
    <row r="15" spans="1:6" x14ac:dyDescent="0.3">
      <c r="B15" s="23">
        <f>B14/150</f>
        <v>300000</v>
      </c>
      <c r="C15" s="24">
        <f>B15*1.1</f>
        <v>330000</v>
      </c>
    </row>
    <row r="17" spans="1:11" x14ac:dyDescent="0.3">
      <c r="D17" s="31"/>
      <c r="E17" s="30"/>
      <c r="F17" s="30"/>
    </row>
    <row r="19" spans="1:11" x14ac:dyDescent="0.3">
      <c r="A19" s="20"/>
      <c r="B19" s="20" t="s">
        <v>18</v>
      </c>
      <c r="C19" s="20"/>
      <c r="D19" s="20"/>
      <c r="E19" s="20"/>
      <c r="F19" s="20"/>
      <c r="G19" s="20" t="s">
        <v>19</v>
      </c>
      <c r="H19" s="20"/>
      <c r="I19" s="20"/>
      <c r="J19" s="20"/>
      <c r="K19" s="20"/>
    </row>
    <row r="20" spans="1:11" x14ac:dyDescent="0.3">
      <c r="A20" s="20"/>
      <c r="B20" s="21" t="s">
        <v>20</v>
      </c>
      <c r="C20" s="21" t="s">
        <v>21</v>
      </c>
      <c r="D20" s="21" t="s">
        <v>22</v>
      </c>
      <c r="E20" s="21" t="s">
        <v>23</v>
      </c>
      <c r="F20" s="20"/>
      <c r="G20" s="20"/>
      <c r="H20" s="21" t="s">
        <v>20</v>
      </c>
      <c r="I20" s="21" t="s">
        <v>21</v>
      </c>
      <c r="J20" s="21" t="s">
        <v>22</v>
      </c>
      <c r="K20" s="21" t="s">
        <v>23</v>
      </c>
    </row>
    <row r="21" spans="1:11" x14ac:dyDescent="0.3">
      <c r="A21" s="20">
        <v>1</v>
      </c>
      <c r="B21" s="28">
        <v>400</v>
      </c>
      <c r="C21" s="28">
        <v>400</v>
      </c>
      <c r="D21" s="28">
        <v>400</v>
      </c>
      <c r="E21" s="28">
        <v>400</v>
      </c>
      <c r="F21" s="20"/>
      <c r="G21" s="20">
        <v>1</v>
      </c>
      <c r="H21" s="27">
        <v>348</v>
      </c>
      <c r="I21" s="27">
        <v>340</v>
      </c>
      <c r="J21" s="27">
        <v>332</v>
      </c>
      <c r="K21" s="27">
        <v>320</v>
      </c>
    </row>
    <row r="22" spans="1:11" x14ac:dyDescent="0.3">
      <c r="A22" s="20">
        <v>3</v>
      </c>
      <c r="B22" s="28">
        <v>1080</v>
      </c>
      <c r="C22" s="28">
        <v>1080</v>
      </c>
      <c r="D22" s="28">
        <v>1080</v>
      </c>
      <c r="E22" s="28">
        <v>1080</v>
      </c>
      <c r="F22" s="20"/>
      <c r="G22" s="20">
        <v>3</v>
      </c>
      <c r="H22" s="27">
        <f>328*3</f>
        <v>984</v>
      </c>
      <c r="I22" s="27">
        <v>960</v>
      </c>
      <c r="J22" s="27">
        <v>936</v>
      </c>
      <c r="K22" s="27">
        <v>900</v>
      </c>
    </row>
    <row r="23" spans="1:11" x14ac:dyDescent="0.3">
      <c r="A23" s="20">
        <v>6</v>
      </c>
      <c r="B23" s="20">
        <v>1980</v>
      </c>
      <c r="C23" s="20">
        <v>1980</v>
      </c>
      <c r="D23" s="20">
        <v>1980</v>
      </c>
      <c r="E23" s="20">
        <v>1980</v>
      </c>
      <c r="F23" s="20"/>
      <c r="G23" s="20">
        <v>6</v>
      </c>
      <c r="H23" s="27">
        <f>308*6</f>
        <v>1848</v>
      </c>
      <c r="I23" s="27">
        <v>1800</v>
      </c>
      <c r="J23" s="27">
        <v>1752</v>
      </c>
      <c r="K23" s="27">
        <v>1680</v>
      </c>
    </row>
    <row r="24" spans="1:11" x14ac:dyDescent="0.3">
      <c r="A24" s="20">
        <v>12</v>
      </c>
      <c r="B24" s="20">
        <v>3600</v>
      </c>
      <c r="C24" s="20">
        <v>3600</v>
      </c>
      <c r="D24" s="20">
        <v>3600</v>
      </c>
      <c r="E24" s="20">
        <v>3600</v>
      </c>
      <c r="F24" s="20"/>
      <c r="G24" s="20">
        <v>12</v>
      </c>
      <c r="H24" s="27">
        <f>288*12</f>
        <v>3456</v>
      </c>
      <c r="I24" s="27">
        <f>280*12</f>
        <v>3360</v>
      </c>
      <c r="J24" s="27">
        <v>3264</v>
      </c>
      <c r="K24" s="27">
        <v>3120</v>
      </c>
    </row>
    <row r="26" spans="1:11" x14ac:dyDescent="0.3">
      <c r="H26" s="24"/>
    </row>
  </sheetData>
  <mergeCells count="3">
    <mergeCell ref="D3:E3"/>
    <mergeCell ref="D17:F17"/>
    <mergeCell ref="A1:F1"/>
  </mergeCells>
  <dataValidations count="1">
    <dataValidation type="list" sqref="B7" xr:uid="{00000000-0002-0000-0000-000000000000}">
      <formula1>"1,3,6,12"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topLeftCell="B12" workbookViewId="0">
      <selection activeCell="C8" sqref="C8:F10"/>
    </sheetView>
  </sheetViews>
  <sheetFormatPr defaultColWidth="8.88671875" defaultRowHeight="20.399999999999999" customHeight="1" x14ac:dyDescent="0.3"/>
  <cols>
    <col min="1" max="1" width="16.5546875" style="20" bestFit="1" customWidth="1"/>
    <col min="2" max="2" width="111.44140625" style="20" customWidth="1"/>
    <col min="3" max="3" width="15.109375" style="20" bestFit="1" customWidth="1"/>
    <col min="4" max="4" width="11.5546875" style="20" bestFit="1" customWidth="1"/>
    <col min="5" max="5" width="12.5546875" style="20" bestFit="1" customWidth="1"/>
    <col min="6" max="6" width="10.44140625" style="20" bestFit="1" customWidth="1"/>
    <col min="7" max="16384" width="8.88671875" style="20"/>
  </cols>
  <sheetData>
    <row r="1" spans="1:10" ht="20.399999999999999" customHeight="1" x14ac:dyDescent="0.3">
      <c r="A1" s="33" t="s">
        <v>24</v>
      </c>
      <c r="B1" s="34"/>
    </row>
    <row r="3" spans="1:10" ht="20.399999999999999" customHeight="1" x14ac:dyDescent="0.3">
      <c r="A3" s="16" t="s">
        <v>25</v>
      </c>
      <c r="B3" s="17" t="s">
        <v>26</v>
      </c>
    </row>
    <row r="4" spans="1:10" ht="20.399999999999999" customHeight="1" x14ac:dyDescent="0.3">
      <c r="A4" s="16" t="s">
        <v>27</v>
      </c>
      <c r="B4" s="17" t="s">
        <v>28</v>
      </c>
      <c r="D4" s="20">
        <f>D5*2</f>
        <v>20</v>
      </c>
      <c r="E4" s="20">
        <f>E5*2</f>
        <v>10</v>
      </c>
    </row>
    <row r="5" spans="1:10" ht="20.399999999999999" customHeight="1" x14ac:dyDescent="0.3">
      <c r="A5" s="16" t="s">
        <v>29</v>
      </c>
      <c r="B5" s="17" t="s">
        <v>30</v>
      </c>
      <c r="C5" s="20">
        <v>80</v>
      </c>
      <c r="D5" s="20">
        <v>10</v>
      </c>
      <c r="E5" s="20">
        <v>5</v>
      </c>
      <c r="F5" s="20">
        <v>5</v>
      </c>
    </row>
    <row r="6" spans="1:10" ht="20.399999999999999" customHeight="1" x14ac:dyDescent="0.3">
      <c r="A6" s="16" t="s">
        <v>31</v>
      </c>
      <c r="B6" s="17" t="s">
        <v>32</v>
      </c>
      <c r="C6" s="20">
        <f>400*(1-C8)</f>
        <v>360</v>
      </c>
      <c r="D6" s="20">
        <f>400*(1-D8)</f>
        <v>340</v>
      </c>
      <c r="E6" s="20">
        <f>400*(1-E8)</f>
        <v>320</v>
      </c>
      <c r="F6" s="20">
        <f>400*(1-F8)</f>
        <v>300</v>
      </c>
    </row>
    <row r="7" spans="1:10" ht="20.399999999999999" customHeight="1" x14ac:dyDescent="0.3">
      <c r="A7" s="16" t="s">
        <v>33</v>
      </c>
      <c r="B7" s="17" t="s">
        <v>34</v>
      </c>
      <c r="C7" s="21" t="s">
        <v>35</v>
      </c>
      <c r="D7" s="21" t="s">
        <v>36</v>
      </c>
      <c r="E7" s="21" t="s">
        <v>37</v>
      </c>
      <c r="F7" s="21" t="s">
        <v>38</v>
      </c>
    </row>
    <row r="8" spans="1:10" ht="20.399999999999999" customHeight="1" x14ac:dyDescent="0.3">
      <c r="A8" s="16" t="s">
        <v>39</v>
      </c>
      <c r="B8" s="17" t="s">
        <v>40</v>
      </c>
      <c r="C8" s="18">
        <v>0.1</v>
      </c>
      <c r="D8" s="19">
        <v>0.15</v>
      </c>
      <c r="E8" s="19">
        <v>0.2</v>
      </c>
      <c r="F8" s="19">
        <v>0.25</v>
      </c>
      <c r="G8" s="18">
        <v>0.1</v>
      </c>
      <c r="H8" s="19">
        <v>0.15</v>
      </c>
      <c r="I8" s="19">
        <v>0.2</v>
      </c>
      <c r="J8" s="19">
        <v>0.25</v>
      </c>
    </row>
    <row r="9" spans="1:10" ht="20.399999999999999" customHeight="1" x14ac:dyDescent="0.3">
      <c r="A9" s="16"/>
      <c r="B9" s="17"/>
      <c r="C9" s="21" t="s">
        <v>20</v>
      </c>
      <c r="D9" s="21" t="s">
        <v>21</v>
      </c>
      <c r="E9" s="21" t="s">
        <v>22</v>
      </c>
      <c r="F9" s="21" t="s">
        <v>23</v>
      </c>
      <c r="G9" s="21" t="s">
        <v>20</v>
      </c>
      <c r="H9" s="21" t="s">
        <v>21</v>
      </c>
      <c r="I9" s="21" t="s">
        <v>22</v>
      </c>
      <c r="J9" s="21" t="s">
        <v>23</v>
      </c>
    </row>
    <row r="10" spans="1:10" ht="20.399999999999999" customHeight="1" x14ac:dyDescent="0.3">
      <c r="A10" s="16" t="s">
        <v>41</v>
      </c>
      <c r="B10" s="17" t="s">
        <v>42</v>
      </c>
      <c r="C10" s="18">
        <v>0.03</v>
      </c>
      <c r="D10" s="19">
        <v>0.08</v>
      </c>
      <c r="E10" s="19">
        <v>0.1</v>
      </c>
      <c r="F10" s="19">
        <v>0.12</v>
      </c>
      <c r="G10" s="18">
        <v>0.05</v>
      </c>
      <c r="H10" s="19">
        <v>0.08</v>
      </c>
      <c r="I10" s="19">
        <v>0.12</v>
      </c>
      <c r="J10" s="19">
        <v>0.15</v>
      </c>
    </row>
    <row r="11" spans="1:10" ht="41.4" customHeight="1" x14ac:dyDescent="0.3">
      <c r="A11" s="16" t="s">
        <v>43</v>
      </c>
      <c r="B11" s="17" t="s">
        <v>44</v>
      </c>
      <c r="C11" s="19">
        <f>C8+C10</f>
        <v>0.13</v>
      </c>
      <c r="D11" s="19">
        <f t="shared" ref="D11:F11" si="0">D8+D10</f>
        <v>0.22999999999999998</v>
      </c>
      <c r="E11" s="19">
        <f t="shared" si="0"/>
        <v>0.30000000000000004</v>
      </c>
      <c r="F11" s="19">
        <f t="shared" si="0"/>
        <v>0.37</v>
      </c>
      <c r="H11" s="20">
        <f>400*0.7</f>
        <v>280</v>
      </c>
    </row>
    <row r="12" spans="1:10" ht="20.399999999999999" customHeight="1" x14ac:dyDescent="0.3">
      <c r="A12" s="16" t="s">
        <v>45</v>
      </c>
      <c r="B12" s="17" t="s">
        <v>46</v>
      </c>
      <c r="D12" s="19"/>
      <c r="E12" s="19"/>
      <c r="F12" s="19">
        <f>280/400</f>
        <v>0.7</v>
      </c>
    </row>
    <row r="13" spans="1:10" ht="20.399999999999999" customHeight="1" x14ac:dyDescent="0.3">
      <c r="A13" s="20">
        <v>400</v>
      </c>
      <c r="B13" s="20">
        <f>A13*0.1</f>
        <v>40</v>
      </c>
      <c r="C13" s="20">
        <f>A13-B13</f>
        <v>360</v>
      </c>
    </row>
    <row r="14" spans="1:10" ht="20.399999999999999" customHeight="1" x14ac:dyDescent="0.3">
      <c r="A14" s="20">
        <f>400*3</f>
        <v>1200</v>
      </c>
      <c r="B14" s="20">
        <f>A14*0.15</f>
        <v>180</v>
      </c>
      <c r="C14" s="20">
        <f t="shared" ref="C14:C16" si="1">A14-B14</f>
        <v>1020</v>
      </c>
      <c r="D14" s="20">
        <f>C13*3</f>
        <v>1080</v>
      </c>
      <c r="E14" s="20">
        <f>D14-C14</f>
        <v>60</v>
      </c>
    </row>
    <row r="15" spans="1:10" ht="20.399999999999999" customHeight="1" x14ac:dyDescent="0.3">
      <c r="A15" s="20">
        <f>6*400</f>
        <v>2400</v>
      </c>
      <c r="B15" s="20">
        <f>A15*0.2</f>
        <v>480</v>
      </c>
      <c r="C15" s="20">
        <f t="shared" si="1"/>
        <v>1920</v>
      </c>
      <c r="D15" s="20">
        <f>C14*2</f>
        <v>2040</v>
      </c>
      <c r="E15" s="20">
        <f>D15-C15</f>
        <v>120</v>
      </c>
    </row>
    <row r="16" spans="1:10" ht="20.399999999999999" customHeight="1" x14ac:dyDescent="0.3">
      <c r="A16" s="20">
        <f>12*400</f>
        <v>4800</v>
      </c>
      <c r="B16" s="20">
        <f>A16*0.25</f>
        <v>1200</v>
      </c>
      <c r="C16" s="20">
        <f t="shared" si="1"/>
        <v>3600</v>
      </c>
      <c r="D16" s="20">
        <f>C15*2</f>
        <v>3840</v>
      </c>
      <c r="E16" s="20">
        <f>D16-C16</f>
        <v>240</v>
      </c>
    </row>
    <row r="19" spans="2:12" ht="20.399999999999999" customHeight="1" x14ac:dyDescent="0.3">
      <c r="C19" s="20" t="s">
        <v>18</v>
      </c>
      <c r="H19" s="20" t="s">
        <v>19</v>
      </c>
    </row>
    <row r="20" spans="2:12" ht="20.399999999999999" customHeight="1" x14ac:dyDescent="0.3">
      <c r="C20" s="21" t="s">
        <v>20</v>
      </c>
      <c r="D20" s="21" t="s">
        <v>21</v>
      </c>
      <c r="E20" s="21" t="s">
        <v>22</v>
      </c>
      <c r="F20" s="21" t="s">
        <v>23</v>
      </c>
      <c r="I20" s="21" t="s">
        <v>20</v>
      </c>
      <c r="J20" s="21" t="s">
        <v>21</v>
      </c>
      <c r="K20" s="21" t="s">
        <v>22</v>
      </c>
      <c r="L20" s="21" t="s">
        <v>23</v>
      </c>
    </row>
    <row r="21" spans="2:12" ht="20.399999999999999" customHeight="1" x14ac:dyDescent="0.3">
      <c r="B21" s="20">
        <v>1</v>
      </c>
      <c r="C21" s="28">
        <v>400</v>
      </c>
      <c r="D21" s="28">
        <v>400</v>
      </c>
      <c r="E21" s="28">
        <v>400</v>
      </c>
      <c r="F21" s="28">
        <v>400</v>
      </c>
      <c r="H21" s="20">
        <v>1</v>
      </c>
      <c r="I21" s="26">
        <v>1080000</v>
      </c>
    </row>
    <row r="22" spans="2:12" ht="20.399999999999999" customHeight="1" x14ac:dyDescent="0.3">
      <c r="B22" s="20">
        <v>3</v>
      </c>
      <c r="C22" s="28">
        <v>1080</v>
      </c>
      <c r="D22" s="28">
        <v>1080</v>
      </c>
      <c r="E22" s="28">
        <v>1080</v>
      </c>
      <c r="F22" s="28">
        <v>1080</v>
      </c>
      <c r="H22" s="20">
        <v>3</v>
      </c>
      <c r="I22" s="20" t="s">
        <v>47</v>
      </c>
      <c r="J22" s="20" t="s">
        <v>48</v>
      </c>
    </row>
    <row r="23" spans="2:12" ht="20.399999999999999" customHeight="1" x14ac:dyDescent="0.3">
      <c r="B23" s="20">
        <v>6</v>
      </c>
      <c r="C23" s="20">
        <v>1980</v>
      </c>
      <c r="D23" s="20">
        <v>1980</v>
      </c>
      <c r="E23" s="20">
        <v>1980</v>
      </c>
      <c r="F23" s="20">
        <v>1980</v>
      </c>
      <c r="H23" s="20">
        <v>6</v>
      </c>
    </row>
    <row r="24" spans="2:12" ht="20.399999999999999" customHeight="1" x14ac:dyDescent="0.3">
      <c r="B24" s="20">
        <v>12</v>
      </c>
      <c r="C24" s="20">
        <v>3600</v>
      </c>
      <c r="D24" s="20">
        <v>3600</v>
      </c>
      <c r="E24" s="20">
        <v>3600</v>
      </c>
      <c r="F24" s="20">
        <v>3600</v>
      </c>
      <c r="H24" s="20">
        <v>12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showGridLines="0" workbookViewId="0">
      <selection activeCell="B25" sqref="B25"/>
    </sheetView>
  </sheetViews>
  <sheetFormatPr defaultRowHeight="14.4" x14ac:dyDescent="0.3"/>
  <cols>
    <col min="1" max="1" width="44.5546875" bestFit="1" customWidth="1"/>
    <col min="2" max="2" width="20" customWidth="1"/>
    <col min="3" max="3" width="28" customWidth="1"/>
    <col min="4" max="4" width="24" customWidth="1"/>
  </cols>
  <sheetData>
    <row r="1" spans="1:4" ht="18" x14ac:dyDescent="0.35">
      <c r="A1" s="35" t="s">
        <v>49</v>
      </c>
      <c r="B1" s="30"/>
      <c r="C1" s="30"/>
      <c r="D1" s="30"/>
    </row>
    <row r="3" spans="1:4" x14ac:dyDescent="0.3">
      <c r="A3" s="11" t="s">
        <v>50</v>
      </c>
      <c r="B3" s="11" t="s">
        <v>51</v>
      </c>
      <c r="C3" s="11" t="s">
        <v>52</v>
      </c>
      <c r="D3" s="11" t="s">
        <v>53</v>
      </c>
    </row>
    <row r="4" spans="1:4" x14ac:dyDescent="0.3">
      <c r="A4">
        <v>1</v>
      </c>
      <c r="B4" s="12">
        <v>0.1</v>
      </c>
      <c r="C4" s="13">
        <v>400000</v>
      </c>
      <c r="D4" s="13">
        <f>C4*A4</f>
        <v>400000</v>
      </c>
    </row>
    <row r="5" spans="1:4" x14ac:dyDescent="0.3">
      <c r="A5">
        <v>3</v>
      </c>
      <c r="B5" s="12">
        <v>0.15</v>
      </c>
      <c r="C5" s="13">
        <f>$C$4*(1-B5)</f>
        <v>340000</v>
      </c>
      <c r="D5" s="13">
        <f>C5*A5</f>
        <v>1020000</v>
      </c>
    </row>
    <row r="6" spans="1:4" x14ac:dyDescent="0.3">
      <c r="A6">
        <v>6</v>
      </c>
      <c r="B6" s="12">
        <v>0.2</v>
      </c>
      <c r="C6" s="13">
        <f>$C$4*(1-B6)</f>
        <v>320000</v>
      </c>
      <c r="D6" s="13">
        <f>C6*A6</f>
        <v>1920000</v>
      </c>
    </row>
    <row r="7" spans="1:4" x14ac:dyDescent="0.3">
      <c r="A7">
        <v>12</v>
      </c>
      <c r="B7" s="12">
        <v>0.25</v>
      </c>
      <c r="C7" s="13">
        <f>$C$4*(1-B7)</f>
        <v>300000</v>
      </c>
      <c r="D7" s="13">
        <f>C7*A7</f>
        <v>3600000</v>
      </c>
    </row>
    <row r="10" spans="1:4" x14ac:dyDescent="0.3">
      <c r="A10" s="3" t="s">
        <v>54</v>
      </c>
    </row>
    <row r="11" spans="1:4" x14ac:dyDescent="0.3">
      <c r="A11" s="11" t="s">
        <v>55</v>
      </c>
      <c r="B11" s="11" t="s">
        <v>51</v>
      </c>
    </row>
    <row r="12" spans="1:4" x14ac:dyDescent="0.3">
      <c r="A12">
        <v>0</v>
      </c>
      <c r="B12" s="12">
        <v>0</v>
      </c>
    </row>
    <row r="13" spans="1:4" x14ac:dyDescent="0.3">
      <c r="A13">
        <v>3</v>
      </c>
      <c r="B13" s="12">
        <v>0.05</v>
      </c>
    </row>
    <row r="14" spans="1:4" x14ac:dyDescent="0.3">
      <c r="A14">
        <v>6</v>
      </c>
      <c r="B14" s="12">
        <v>0.08</v>
      </c>
    </row>
    <row r="15" spans="1:4" x14ac:dyDescent="0.3">
      <c r="A15">
        <v>12</v>
      </c>
      <c r="B15" s="12">
        <v>0.12</v>
      </c>
    </row>
    <row r="16" spans="1:4" x14ac:dyDescent="0.3">
      <c r="A16">
        <v>24</v>
      </c>
      <c r="B16" s="12">
        <v>0.15</v>
      </c>
    </row>
    <row r="19" spans="1:3" x14ac:dyDescent="0.3">
      <c r="A19" s="3" t="s">
        <v>56</v>
      </c>
    </row>
    <row r="20" spans="1:3" x14ac:dyDescent="0.3">
      <c r="A20" s="11" t="s">
        <v>57</v>
      </c>
      <c r="B20" s="11" t="s">
        <v>58</v>
      </c>
      <c r="C20" s="11" t="s">
        <v>59</v>
      </c>
    </row>
    <row r="21" spans="1:3" x14ac:dyDescent="0.3">
      <c r="A21">
        <v>1</v>
      </c>
      <c r="B21" t="s">
        <v>60</v>
      </c>
      <c r="C21" s="12">
        <v>0</v>
      </c>
    </row>
    <row r="22" spans="1:3" x14ac:dyDescent="0.3">
      <c r="A22">
        <v>3</v>
      </c>
      <c r="B22" t="s">
        <v>61</v>
      </c>
      <c r="C22" s="12">
        <v>0.05</v>
      </c>
    </row>
    <row r="23" spans="1:3" x14ac:dyDescent="0.3">
      <c r="A23">
        <v>6</v>
      </c>
      <c r="B23" t="s">
        <v>62</v>
      </c>
      <c r="C23" s="12">
        <v>0.1</v>
      </c>
    </row>
    <row r="24" spans="1:3" x14ac:dyDescent="0.3">
      <c r="A24">
        <v>9</v>
      </c>
      <c r="B24" t="s">
        <v>63</v>
      </c>
      <c r="C24" s="12">
        <v>0.15</v>
      </c>
    </row>
    <row r="25" spans="1:3" x14ac:dyDescent="0.3">
      <c r="A25">
        <v>12</v>
      </c>
      <c r="B25" t="s">
        <v>64</v>
      </c>
      <c r="C25" s="12">
        <v>0.2</v>
      </c>
    </row>
    <row r="26" spans="1:3" x14ac:dyDescent="0.3">
      <c r="A26">
        <v>24</v>
      </c>
      <c r="B26" t="s">
        <v>65</v>
      </c>
      <c r="C26" s="12">
        <v>0.25</v>
      </c>
    </row>
    <row r="27" spans="1:3" x14ac:dyDescent="0.3">
      <c r="C27" s="12"/>
    </row>
    <row r="28" spans="1:3" x14ac:dyDescent="0.3">
      <c r="C28" s="12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" sqref="E2"/>
    </sheetView>
  </sheetViews>
  <sheetFormatPr defaultRowHeight="14.4" x14ac:dyDescent="0.3"/>
  <cols>
    <col min="1" max="1" width="14" customWidth="1"/>
    <col min="2" max="2" width="22" customWidth="1"/>
    <col min="3" max="3" width="20" customWidth="1"/>
    <col min="4" max="4" width="17" customWidth="1"/>
    <col min="5" max="5" width="16" customWidth="1"/>
    <col min="6" max="6" width="23" customWidth="1"/>
    <col min="7" max="8" width="32" customWidth="1"/>
    <col min="9" max="9" width="19" customWidth="1"/>
    <col min="10" max="10" width="21" customWidth="1"/>
    <col min="11" max="11" width="15" customWidth="1"/>
    <col min="12" max="13" width="32" customWidth="1"/>
    <col min="14" max="14" width="30" customWidth="1"/>
  </cols>
  <sheetData>
    <row r="1" spans="1:14" x14ac:dyDescent="0.3">
      <c r="A1" s="14" t="s">
        <v>3</v>
      </c>
      <c r="B1" s="14" t="s">
        <v>1</v>
      </c>
      <c r="C1" s="14" t="s">
        <v>5</v>
      </c>
      <c r="D1" s="14" t="s">
        <v>66</v>
      </c>
      <c r="E1" s="14" t="s">
        <v>50</v>
      </c>
      <c r="F1" s="14" t="s">
        <v>67</v>
      </c>
      <c r="G1" s="14" t="s">
        <v>4</v>
      </c>
      <c r="H1" s="14" t="s">
        <v>7</v>
      </c>
      <c r="I1" s="14" t="s">
        <v>68</v>
      </c>
      <c r="J1" s="14" t="s">
        <v>69</v>
      </c>
      <c r="K1" s="14" t="s">
        <v>70</v>
      </c>
      <c r="L1" s="14" t="s">
        <v>71</v>
      </c>
      <c r="M1" s="14" t="s">
        <v>12</v>
      </c>
      <c r="N1" s="14" t="s">
        <v>72</v>
      </c>
    </row>
    <row r="2" spans="1:14" x14ac:dyDescent="0.3">
      <c r="A2">
        <v>101</v>
      </c>
      <c r="B2" t="s">
        <v>73</v>
      </c>
      <c r="C2" s="13">
        <v>400000</v>
      </c>
      <c r="D2">
        <v>13</v>
      </c>
      <c r="E2">
        <v>1</v>
      </c>
      <c r="F2">
        <f t="shared" ref="F2:F33" si="0">D2+E2</f>
        <v>14</v>
      </c>
      <c r="G2" s="15">
        <f>IF(CustomerPricingLog[[#This Row],[Months Attended]]=0,0,IF(E2=1,'Package Matrix'!$B$4,IF(E2=3,'Package Matrix'!$B$5,IF(E2=6,'Package Matrix'!$B$6,IF(E2=12,'Package Matrix'!$B$7,0)))))</f>
        <v>0.1</v>
      </c>
      <c r="H2" s="15">
        <f>IF(D2&lt;3,'Package Matrix'!$B$12,IF(D2&lt;6,'Package Matrix'!$B$13,IF(D2&lt;12,'Package Matrix'!$B$14,IF(D2&lt;24,'Package Matrix'!$B$15,'Package Matrix'!$B$16))))</f>
        <v>0.12</v>
      </c>
      <c r="I2" s="15">
        <f>G2+H2</f>
        <v>0.22</v>
      </c>
      <c r="J2" s="13">
        <f t="shared" ref="J2:J33" si="1">C2*(1-I2)</f>
        <v>312000</v>
      </c>
      <c r="K2" s="13">
        <f t="shared" ref="K2:K33" si="2">J2*E2</f>
        <v>312000</v>
      </c>
      <c r="L2" s="13">
        <f t="shared" ref="L2:L33" si="3">C2*(1-MIN(30%,IF(D2+E2&lt;3,0,IF(D2+E2&lt;6,3%,IF(D2+E2&lt;9,7%,IF(D2+E2&lt;12,10%,IF(D2+E2&lt;18,15%,IF(D2+E2&lt;24,20%,IF(D2+E2&lt;36,25%,30%)))))))))</f>
        <v>340000</v>
      </c>
      <c r="M2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Long-Term</v>
      </c>
      <c r="N2" t="s">
        <v>74</v>
      </c>
    </row>
    <row r="3" spans="1:14" x14ac:dyDescent="0.3">
      <c r="C3" s="13">
        <v>400000</v>
      </c>
      <c r="F3">
        <f t="shared" si="0"/>
        <v>0</v>
      </c>
      <c r="G3" s="15">
        <f>IF(CustomerPricingLog[[#This Row],[Months Attended]]=0,0,IF(E3=1,'Package Matrix'!$B$4,IF(E3=3,'Package Matrix'!$B$5,IF(E3=6,'Package Matrix'!$B$6,IF(E3=12,'Package Matrix'!$B$7,0)))))</f>
        <v>0</v>
      </c>
      <c r="H3" s="15">
        <f>IF(D3&lt;3,'Package Matrix'!$B$12,IF(D3&lt;6,'Package Matrix'!$B$13,IF(D3&lt;12,'Package Matrix'!$B$14,IF(D3&lt;24,'Package Matrix'!$B$15,'Package Matrix'!$B$16))))</f>
        <v>0</v>
      </c>
      <c r="I3" s="15">
        <f t="shared" ref="I3:I33" si="4">MIN(30%,G3+H3)</f>
        <v>0</v>
      </c>
      <c r="J3" s="13">
        <f t="shared" si="1"/>
        <v>400000</v>
      </c>
      <c r="K3" s="13">
        <f t="shared" si="2"/>
        <v>0</v>
      </c>
      <c r="L3" s="13">
        <f t="shared" si="3"/>
        <v>400000</v>
      </c>
      <c r="M3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" spans="1:14" x14ac:dyDescent="0.3">
      <c r="C4" s="13">
        <v>400000</v>
      </c>
      <c r="F4">
        <f t="shared" si="0"/>
        <v>0</v>
      </c>
      <c r="G4" s="15">
        <f>IF(CustomerPricingLog[[#This Row],[Months Attended]]=0,0,IF(E4=1,'Package Matrix'!$B$4,IF(E4=3,'Package Matrix'!$B$5,IF(E4=6,'Package Matrix'!$B$6,IF(E4=12,'Package Matrix'!$B$7,0)))))</f>
        <v>0</v>
      </c>
      <c r="H4" s="15">
        <f>IF(D4&lt;3,'Package Matrix'!$B$12,IF(D4&lt;6,'Package Matrix'!$B$13,IF(D4&lt;12,'Package Matrix'!$B$14,IF(D4&lt;24,'Package Matrix'!$B$15,'Package Matrix'!$B$16))))</f>
        <v>0</v>
      </c>
      <c r="I4" s="15">
        <f t="shared" si="4"/>
        <v>0</v>
      </c>
      <c r="J4" s="13">
        <f t="shared" si="1"/>
        <v>400000</v>
      </c>
      <c r="K4" s="13">
        <f t="shared" si="2"/>
        <v>0</v>
      </c>
      <c r="L4" s="13">
        <f t="shared" si="3"/>
        <v>400000</v>
      </c>
      <c r="M4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5" spans="1:14" x14ac:dyDescent="0.3">
      <c r="C5" s="13">
        <v>400000</v>
      </c>
      <c r="F5">
        <f t="shared" si="0"/>
        <v>0</v>
      </c>
      <c r="G5" s="15">
        <f>IF(CustomerPricingLog[[#This Row],[Months Attended]]=0,0,IF(E5=1,'Package Matrix'!$B$4,IF(E5=3,'Package Matrix'!$B$5,IF(E5=6,'Package Matrix'!$B$6,IF(E5=12,'Package Matrix'!$B$7,0)))))</f>
        <v>0</v>
      </c>
      <c r="H5" s="15">
        <f>IF(D5&lt;3,'Package Matrix'!$B$12,IF(D5&lt;6,'Package Matrix'!$B$13,IF(D5&lt;12,'Package Matrix'!$B$14,IF(D5&lt;24,'Package Matrix'!$B$15,'Package Matrix'!$B$16))))</f>
        <v>0</v>
      </c>
      <c r="I5" s="15">
        <f t="shared" si="4"/>
        <v>0</v>
      </c>
      <c r="J5" s="13">
        <f t="shared" si="1"/>
        <v>400000</v>
      </c>
      <c r="K5" s="13">
        <f t="shared" si="2"/>
        <v>0</v>
      </c>
      <c r="L5" s="13">
        <f t="shared" si="3"/>
        <v>400000</v>
      </c>
      <c r="M5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6" spans="1:14" x14ac:dyDescent="0.3">
      <c r="C6" s="13">
        <v>400000</v>
      </c>
      <c r="F6">
        <f t="shared" si="0"/>
        <v>0</v>
      </c>
      <c r="G6" s="15">
        <f>IF(CustomerPricingLog[[#This Row],[Months Attended]]=0,0,IF(E6=1,'Package Matrix'!$B$4,IF(E6=3,'Package Matrix'!$B$5,IF(E6=6,'Package Matrix'!$B$6,IF(E6=12,'Package Matrix'!$B$7,0)))))</f>
        <v>0</v>
      </c>
      <c r="H6" s="15">
        <f>IF(D6&lt;3,'Package Matrix'!$B$12,IF(D6&lt;6,'Package Matrix'!$B$13,IF(D6&lt;12,'Package Matrix'!$B$14,IF(D6&lt;24,'Package Matrix'!$B$15,'Package Matrix'!$B$16))))</f>
        <v>0</v>
      </c>
      <c r="I6" s="15">
        <f t="shared" si="4"/>
        <v>0</v>
      </c>
      <c r="J6" s="13">
        <f t="shared" si="1"/>
        <v>400000</v>
      </c>
      <c r="K6" s="13">
        <f t="shared" si="2"/>
        <v>0</v>
      </c>
      <c r="L6" s="13">
        <f t="shared" si="3"/>
        <v>400000</v>
      </c>
      <c r="M6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7" spans="1:14" x14ac:dyDescent="0.3">
      <c r="C7" s="13">
        <v>400000</v>
      </c>
      <c r="F7">
        <f t="shared" si="0"/>
        <v>0</v>
      </c>
      <c r="G7" s="15">
        <f>IF(CustomerPricingLog[[#This Row],[Months Attended]]=0,0,IF(E7=1,'Package Matrix'!$B$4,IF(E7=3,'Package Matrix'!$B$5,IF(E7=6,'Package Matrix'!$B$6,IF(E7=12,'Package Matrix'!$B$7,0)))))</f>
        <v>0</v>
      </c>
      <c r="H7" s="15">
        <f>IF(D7&lt;3,'Package Matrix'!$B$12,IF(D7&lt;6,'Package Matrix'!$B$13,IF(D7&lt;12,'Package Matrix'!$B$14,IF(D7&lt;24,'Package Matrix'!$B$15,'Package Matrix'!$B$16))))</f>
        <v>0</v>
      </c>
      <c r="I7" s="15">
        <f t="shared" si="4"/>
        <v>0</v>
      </c>
      <c r="J7" s="13">
        <f t="shared" si="1"/>
        <v>400000</v>
      </c>
      <c r="K7" s="13">
        <f t="shared" si="2"/>
        <v>0</v>
      </c>
      <c r="L7" s="13">
        <f t="shared" si="3"/>
        <v>400000</v>
      </c>
      <c r="M7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8" spans="1:14" x14ac:dyDescent="0.3">
      <c r="C8" s="13">
        <v>400000</v>
      </c>
      <c r="F8">
        <f t="shared" si="0"/>
        <v>0</v>
      </c>
      <c r="G8" s="15">
        <f>IF(CustomerPricingLog[[#This Row],[Months Attended]]=0,0,IF(E8=1,'Package Matrix'!$B$4,IF(E8=3,'Package Matrix'!$B$5,IF(E8=6,'Package Matrix'!$B$6,IF(E8=12,'Package Matrix'!$B$7,0)))))</f>
        <v>0</v>
      </c>
      <c r="H8" s="15">
        <f>IF(D8&lt;3,'Package Matrix'!$B$12,IF(D8&lt;6,'Package Matrix'!$B$13,IF(D8&lt;12,'Package Matrix'!$B$14,IF(D8&lt;24,'Package Matrix'!$B$15,'Package Matrix'!$B$16))))</f>
        <v>0</v>
      </c>
      <c r="I8" s="15">
        <f t="shared" si="4"/>
        <v>0</v>
      </c>
      <c r="J8" s="13">
        <f t="shared" si="1"/>
        <v>400000</v>
      </c>
      <c r="K8" s="13">
        <f t="shared" si="2"/>
        <v>0</v>
      </c>
      <c r="L8" s="13">
        <f t="shared" si="3"/>
        <v>400000</v>
      </c>
      <c r="M8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9" spans="1:14" x14ac:dyDescent="0.3">
      <c r="C9" s="13">
        <v>400000</v>
      </c>
      <c r="F9">
        <f t="shared" si="0"/>
        <v>0</v>
      </c>
      <c r="G9" s="15">
        <f>IF(CustomerPricingLog[[#This Row],[Months Attended]]=0,0,IF(E9=1,'Package Matrix'!$B$4,IF(E9=3,'Package Matrix'!$B$5,IF(E9=6,'Package Matrix'!$B$6,IF(E9=12,'Package Matrix'!$B$7,0)))))</f>
        <v>0</v>
      </c>
      <c r="H9" s="15">
        <f>IF(D9&lt;3,'Package Matrix'!$B$12,IF(D9&lt;6,'Package Matrix'!$B$13,IF(D9&lt;12,'Package Matrix'!$B$14,IF(D9&lt;24,'Package Matrix'!$B$15,'Package Matrix'!$B$16))))</f>
        <v>0</v>
      </c>
      <c r="I9" s="15">
        <f t="shared" si="4"/>
        <v>0</v>
      </c>
      <c r="J9" s="13">
        <f t="shared" si="1"/>
        <v>400000</v>
      </c>
      <c r="K9" s="13">
        <f t="shared" si="2"/>
        <v>0</v>
      </c>
      <c r="L9" s="13">
        <f t="shared" si="3"/>
        <v>400000</v>
      </c>
      <c r="M9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10" spans="1:14" x14ac:dyDescent="0.3">
      <c r="C10" s="13">
        <v>400000</v>
      </c>
      <c r="F10">
        <f t="shared" si="0"/>
        <v>0</v>
      </c>
      <c r="G10" s="15">
        <f>IF(CustomerPricingLog[[#This Row],[Months Attended]]=0,0,IF(E10=1,'Package Matrix'!$B$4,IF(E10=3,'Package Matrix'!$B$5,IF(E10=6,'Package Matrix'!$B$6,IF(E10=12,'Package Matrix'!$B$7,0)))))</f>
        <v>0</v>
      </c>
      <c r="H10" s="15">
        <f>IF(D10&lt;3,'Package Matrix'!$B$12,IF(D10&lt;6,'Package Matrix'!$B$13,IF(D10&lt;12,'Package Matrix'!$B$14,IF(D10&lt;24,'Package Matrix'!$B$15,'Package Matrix'!$B$16))))</f>
        <v>0</v>
      </c>
      <c r="I10" s="15">
        <f t="shared" si="4"/>
        <v>0</v>
      </c>
      <c r="J10" s="13">
        <f t="shared" si="1"/>
        <v>400000</v>
      </c>
      <c r="K10" s="13">
        <f t="shared" si="2"/>
        <v>0</v>
      </c>
      <c r="L10" s="13">
        <f t="shared" si="3"/>
        <v>400000</v>
      </c>
      <c r="M10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11" spans="1:14" x14ac:dyDescent="0.3">
      <c r="C11" s="13">
        <v>400000</v>
      </c>
      <c r="F11">
        <f t="shared" si="0"/>
        <v>0</v>
      </c>
      <c r="G11" s="15">
        <f>IF(CustomerPricingLog[[#This Row],[Months Attended]]=0,0,IF(E11=1,'Package Matrix'!$B$4,IF(E11=3,'Package Matrix'!$B$5,IF(E11=6,'Package Matrix'!$B$6,IF(E11=12,'Package Matrix'!$B$7,0)))))</f>
        <v>0</v>
      </c>
      <c r="H11" s="15">
        <f>IF(D11&lt;3,'Package Matrix'!$B$12,IF(D11&lt;6,'Package Matrix'!$B$13,IF(D11&lt;12,'Package Matrix'!$B$14,IF(D11&lt;24,'Package Matrix'!$B$15,'Package Matrix'!$B$16))))</f>
        <v>0</v>
      </c>
      <c r="I11" s="15">
        <f t="shared" si="4"/>
        <v>0</v>
      </c>
      <c r="J11" s="13">
        <f t="shared" si="1"/>
        <v>400000</v>
      </c>
      <c r="K11" s="13">
        <f t="shared" si="2"/>
        <v>0</v>
      </c>
      <c r="L11" s="13">
        <f t="shared" si="3"/>
        <v>400000</v>
      </c>
      <c r="M11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12" spans="1:14" x14ac:dyDescent="0.3">
      <c r="C12" s="13">
        <v>400000</v>
      </c>
      <c r="F12">
        <f t="shared" si="0"/>
        <v>0</v>
      </c>
      <c r="G12" s="15">
        <f>IF(CustomerPricingLog[[#This Row],[Months Attended]]=0,0,IF(E12=1,'Package Matrix'!$B$4,IF(E12=3,'Package Matrix'!$B$5,IF(E12=6,'Package Matrix'!$B$6,IF(E12=12,'Package Matrix'!$B$7,0)))))</f>
        <v>0</v>
      </c>
      <c r="H12" s="15">
        <f>IF(D12&lt;3,'Package Matrix'!$B$12,IF(D12&lt;6,'Package Matrix'!$B$13,IF(D12&lt;12,'Package Matrix'!$B$14,IF(D12&lt;24,'Package Matrix'!$B$15,'Package Matrix'!$B$16))))</f>
        <v>0</v>
      </c>
      <c r="I12" s="15">
        <f t="shared" si="4"/>
        <v>0</v>
      </c>
      <c r="J12" s="13">
        <f t="shared" si="1"/>
        <v>400000</v>
      </c>
      <c r="K12" s="13">
        <f t="shared" si="2"/>
        <v>0</v>
      </c>
      <c r="L12" s="13">
        <f t="shared" si="3"/>
        <v>400000</v>
      </c>
      <c r="M12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13" spans="1:14" x14ac:dyDescent="0.3">
      <c r="C13" s="13">
        <v>400000</v>
      </c>
      <c r="F13">
        <f t="shared" si="0"/>
        <v>0</v>
      </c>
      <c r="G13" s="15">
        <f>IF(CustomerPricingLog[[#This Row],[Months Attended]]=0,0,IF(E13=1,'Package Matrix'!$B$4,IF(E13=3,'Package Matrix'!$B$5,IF(E13=6,'Package Matrix'!$B$6,IF(E13=12,'Package Matrix'!$B$7,0)))))</f>
        <v>0</v>
      </c>
      <c r="H13" s="15">
        <f>IF(D13&lt;3,'Package Matrix'!$B$12,IF(D13&lt;6,'Package Matrix'!$B$13,IF(D13&lt;12,'Package Matrix'!$B$14,IF(D13&lt;24,'Package Matrix'!$B$15,'Package Matrix'!$B$16))))</f>
        <v>0</v>
      </c>
      <c r="I13" s="15">
        <f t="shared" si="4"/>
        <v>0</v>
      </c>
      <c r="J13" s="13">
        <f t="shared" si="1"/>
        <v>400000</v>
      </c>
      <c r="K13" s="13">
        <f t="shared" si="2"/>
        <v>0</v>
      </c>
      <c r="L13" s="13">
        <f t="shared" si="3"/>
        <v>400000</v>
      </c>
      <c r="M13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14" spans="1:14" x14ac:dyDescent="0.3">
      <c r="C14" s="13">
        <v>400000</v>
      </c>
      <c r="F14">
        <f t="shared" si="0"/>
        <v>0</v>
      </c>
      <c r="G14" s="15">
        <f>IF(CustomerPricingLog[[#This Row],[Months Attended]]=0,0,IF(E14=1,'Package Matrix'!$B$4,IF(E14=3,'Package Matrix'!$B$5,IF(E14=6,'Package Matrix'!$B$6,IF(E14=12,'Package Matrix'!$B$7,0)))))</f>
        <v>0</v>
      </c>
      <c r="H14" s="15">
        <f>IF(D14&lt;3,'Package Matrix'!$B$12,IF(D14&lt;6,'Package Matrix'!$B$13,IF(D14&lt;12,'Package Matrix'!$B$14,IF(D14&lt;24,'Package Matrix'!$B$15,'Package Matrix'!$B$16))))</f>
        <v>0</v>
      </c>
      <c r="I14" s="15">
        <f t="shared" si="4"/>
        <v>0</v>
      </c>
      <c r="J14" s="13">
        <f t="shared" si="1"/>
        <v>400000</v>
      </c>
      <c r="K14" s="13">
        <f t="shared" si="2"/>
        <v>0</v>
      </c>
      <c r="L14" s="13">
        <f t="shared" si="3"/>
        <v>400000</v>
      </c>
      <c r="M14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15" spans="1:14" x14ac:dyDescent="0.3">
      <c r="C15" s="13">
        <v>400000</v>
      </c>
      <c r="F15">
        <f t="shared" si="0"/>
        <v>0</v>
      </c>
      <c r="G15" s="15">
        <f>IF(CustomerPricingLog[[#This Row],[Months Attended]]=0,0,IF(E15=1,'Package Matrix'!$B$4,IF(E15=3,'Package Matrix'!$B$5,IF(E15=6,'Package Matrix'!$B$6,IF(E15=12,'Package Matrix'!$B$7,0)))))</f>
        <v>0</v>
      </c>
      <c r="H15" s="15">
        <f>IF(D15&lt;3,'Package Matrix'!$B$12,IF(D15&lt;6,'Package Matrix'!$B$13,IF(D15&lt;12,'Package Matrix'!$B$14,IF(D15&lt;24,'Package Matrix'!$B$15,'Package Matrix'!$B$16))))</f>
        <v>0</v>
      </c>
      <c r="I15" s="15">
        <f t="shared" si="4"/>
        <v>0</v>
      </c>
      <c r="J15" s="13">
        <f t="shared" si="1"/>
        <v>400000</v>
      </c>
      <c r="K15" s="13">
        <f t="shared" si="2"/>
        <v>0</v>
      </c>
      <c r="L15" s="13">
        <f t="shared" si="3"/>
        <v>400000</v>
      </c>
      <c r="M15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16" spans="1:14" x14ac:dyDescent="0.3">
      <c r="C16" s="13">
        <v>400000</v>
      </c>
      <c r="F16">
        <f t="shared" si="0"/>
        <v>0</v>
      </c>
      <c r="G16" s="15">
        <f>IF(CustomerPricingLog[[#This Row],[Months Attended]]=0,0,IF(E16=1,'Package Matrix'!$B$4,IF(E16=3,'Package Matrix'!$B$5,IF(E16=6,'Package Matrix'!$B$6,IF(E16=12,'Package Matrix'!$B$7,0)))))</f>
        <v>0</v>
      </c>
      <c r="H16" s="15">
        <f>IF(D16&lt;3,'Package Matrix'!$B$12,IF(D16&lt;6,'Package Matrix'!$B$13,IF(D16&lt;12,'Package Matrix'!$B$14,IF(D16&lt;24,'Package Matrix'!$B$15,'Package Matrix'!$B$16))))</f>
        <v>0</v>
      </c>
      <c r="I16" s="15">
        <f t="shared" si="4"/>
        <v>0</v>
      </c>
      <c r="J16" s="13">
        <f t="shared" si="1"/>
        <v>400000</v>
      </c>
      <c r="K16" s="13">
        <f t="shared" si="2"/>
        <v>0</v>
      </c>
      <c r="L16" s="13">
        <f t="shared" si="3"/>
        <v>400000</v>
      </c>
      <c r="M16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17" spans="3:13" x14ac:dyDescent="0.3">
      <c r="C17" s="13">
        <v>400000</v>
      </c>
      <c r="F17">
        <f t="shared" si="0"/>
        <v>0</v>
      </c>
      <c r="G17" s="15">
        <f>IF(CustomerPricingLog[[#This Row],[Months Attended]]=0,0,IF(E17=1,'Package Matrix'!$B$4,IF(E17=3,'Package Matrix'!$B$5,IF(E17=6,'Package Matrix'!$B$6,IF(E17=12,'Package Matrix'!$B$7,0)))))</f>
        <v>0</v>
      </c>
      <c r="H17" s="15">
        <f>IF(D17&lt;3,'Package Matrix'!$B$12,IF(D17&lt;6,'Package Matrix'!$B$13,IF(D17&lt;12,'Package Matrix'!$B$14,IF(D17&lt;24,'Package Matrix'!$B$15,'Package Matrix'!$B$16))))</f>
        <v>0</v>
      </c>
      <c r="I17" s="15">
        <f t="shared" si="4"/>
        <v>0</v>
      </c>
      <c r="J17" s="13">
        <f t="shared" si="1"/>
        <v>400000</v>
      </c>
      <c r="K17" s="13">
        <f t="shared" si="2"/>
        <v>0</v>
      </c>
      <c r="L17" s="13">
        <f t="shared" si="3"/>
        <v>400000</v>
      </c>
      <c r="M17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18" spans="3:13" x14ac:dyDescent="0.3">
      <c r="C18" s="13">
        <v>400000</v>
      </c>
      <c r="F18">
        <f t="shared" si="0"/>
        <v>0</v>
      </c>
      <c r="G18" s="15">
        <f>IF(CustomerPricingLog[[#This Row],[Months Attended]]=0,0,IF(E18=1,'Package Matrix'!$B$4,IF(E18=3,'Package Matrix'!$B$5,IF(E18=6,'Package Matrix'!$B$6,IF(E18=12,'Package Matrix'!$B$7,0)))))</f>
        <v>0</v>
      </c>
      <c r="H18" s="15">
        <f>IF(D18&lt;3,'Package Matrix'!$B$12,IF(D18&lt;6,'Package Matrix'!$B$13,IF(D18&lt;12,'Package Matrix'!$B$14,IF(D18&lt;24,'Package Matrix'!$B$15,'Package Matrix'!$B$16))))</f>
        <v>0</v>
      </c>
      <c r="I18" s="15">
        <f t="shared" si="4"/>
        <v>0</v>
      </c>
      <c r="J18" s="13">
        <f t="shared" si="1"/>
        <v>400000</v>
      </c>
      <c r="K18" s="13">
        <f t="shared" si="2"/>
        <v>0</v>
      </c>
      <c r="L18" s="13">
        <f t="shared" si="3"/>
        <v>400000</v>
      </c>
      <c r="M18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19" spans="3:13" x14ac:dyDescent="0.3">
      <c r="C19" s="13">
        <v>400000</v>
      </c>
      <c r="F19">
        <f t="shared" si="0"/>
        <v>0</v>
      </c>
      <c r="G19" s="15">
        <f>IF(CustomerPricingLog[[#This Row],[Months Attended]]=0,0,IF(E19=1,'Package Matrix'!$B$4,IF(E19=3,'Package Matrix'!$B$5,IF(E19=6,'Package Matrix'!$B$6,IF(E19=12,'Package Matrix'!$B$7,0)))))</f>
        <v>0</v>
      </c>
      <c r="H19" s="15">
        <f>IF(D19&lt;3,'Package Matrix'!$B$12,IF(D19&lt;6,'Package Matrix'!$B$13,IF(D19&lt;12,'Package Matrix'!$B$14,IF(D19&lt;24,'Package Matrix'!$B$15,'Package Matrix'!$B$16))))</f>
        <v>0</v>
      </c>
      <c r="I19" s="15">
        <f t="shared" si="4"/>
        <v>0</v>
      </c>
      <c r="J19" s="13">
        <f t="shared" si="1"/>
        <v>400000</v>
      </c>
      <c r="K19" s="13">
        <f t="shared" si="2"/>
        <v>0</v>
      </c>
      <c r="L19" s="13">
        <f t="shared" si="3"/>
        <v>400000</v>
      </c>
      <c r="M19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20" spans="3:13" x14ac:dyDescent="0.3">
      <c r="C20" s="13">
        <v>400000</v>
      </c>
      <c r="F20">
        <f t="shared" si="0"/>
        <v>0</v>
      </c>
      <c r="G20" s="15">
        <f>IF(CustomerPricingLog[[#This Row],[Months Attended]]=0,0,IF(E20=1,'Package Matrix'!$B$4,IF(E20=3,'Package Matrix'!$B$5,IF(E20=6,'Package Matrix'!$B$6,IF(E20=12,'Package Matrix'!$B$7,0)))))</f>
        <v>0</v>
      </c>
      <c r="H20" s="15">
        <f>IF(D20&lt;3,'Package Matrix'!$B$12,IF(D20&lt;6,'Package Matrix'!$B$13,IF(D20&lt;12,'Package Matrix'!$B$14,IF(D20&lt;24,'Package Matrix'!$B$15,'Package Matrix'!$B$16))))</f>
        <v>0</v>
      </c>
      <c r="I20" s="15">
        <f t="shared" si="4"/>
        <v>0</v>
      </c>
      <c r="J20" s="13">
        <f t="shared" si="1"/>
        <v>400000</v>
      </c>
      <c r="K20" s="13">
        <f t="shared" si="2"/>
        <v>0</v>
      </c>
      <c r="L20" s="13">
        <f t="shared" si="3"/>
        <v>400000</v>
      </c>
      <c r="M20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21" spans="3:13" x14ac:dyDescent="0.3">
      <c r="C21" s="13">
        <v>400000</v>
      </c>
      <c r="F21">
        <f t="shared" si="0"/>
        <v>0</v>
      </c>
      <c r="G21" s="15">
        <f>IF(CustomerPricingLog[[#This Row],[Months Attended]]=0,0,IF(E21=1,'Package Matrix'!$B$4,IF(E21=3,'Package Matrix'!$B$5,IF(E21=6,'Package Matrix'!$B$6,IF(E21=12,'Package Matrix'!$B$7,0)))))</f>
        <v>0</v>
      </c>
      <c r="H21" s="15">
        <f>IF(D21&lt;3,'Package Matrix'!$B$12,IF(D21&lt;6,'Package Matrix'!$B$13,IF(D21&lt;12,'Package Matrix'!$B$14,IF(D21&lt;24,'Package Matrix'!$B$15,'Package Matrix'!$B$16))))</f>
        <v>0</v>
      </c>
      <c r="I21" s="15">
        <f t="shared" si="4"/>
        <v>0</v>
      </c>
      <c r="J21" s="13">
        <f t="shared" si="1"/>
        <v>400000</v>
      </c>
      <c r="K21" s="13">
        <f t="shared" si="2"/>
        <v>0</v>
      </c>
      <c r="L21" s="13">
        <f t="shared" si="3"/>
        <v>400000</v>
      </c>
      <c r="M21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22" spans="3:13" x14ac:dyDescent="0.3">
      <c r="C22" s="13">
        <v>400000</v>
      </c>
      <c r="F22">
        <f t="shared" si="0"/>
        <v>0</v>
      </c>
      <c r="G22" s="15">
        <f>IF(CustomerPricingLog[[#This Row],[Months Attended]]=0,0,IF(E22=1,'Package Matrix'!$B$4,IF(E22=3,'Package Matrix'!$B$5,IF(E22=6,'Package Matrix'!$B$6,IF(E22=12,'Package Matrix'!$B$7,0)))))</f>
        <v>0</v>
      </c>
      <c r="H22" s="15">
        <f>IF(D22&lt;3,'Package Matrix'!$B$12,IF(D22&lt;6,'Package Matrix'!$B$13,IF(D22&lt;12,'Package Matrix'!$B$14,IF(D22&lt;24,'Package Matrix'!$B$15,'Package Matrix'!$B$16))))</f>
        <v>0</v>
      </c>
      <c r="I22" s="15">
        <f t="shared" si="4"/>
        <v>0</v>
      </c>
      <c r="J22" s="13">
        <f t="shared" si="1"/>
        <v>400000</v>
      </c>
      <c r="K22" s="13">
        <f t="shared" si="2"/>
        <v>0</v>
      </c>
      <c r="L22" s="13">
        <f t="shared" si="3"/>
        <v>400000</v>
      </c>
      <c r="M22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23" spans="3:13" x14ac:dyDescent="0.3">
      <c r="C23" s="13">
        <v>400000</v>
      </c>
      <c r="F23">
        <f t="shared" si="0"/>
        <v>0</v>
      </c>
      <c r="G23" s="15">
        <f>IF(CustomerPricingLog[[#This Row],[Months Attended]]=0,0,IF(E23=1,'Package Matrix'!$B$4,IF(E23=3,'Package Matrix'!$B$5,IF(E23=6,'Package Matrix'!$B$6,IF(E23=12,'Package Matrix'!$B$7,0)))))</f>
        <v>0</v>
      </c>
      <c r="H23" s="15">
        <f>IF(D23&lt;3,'Package Matrix'!$B$12,IF(D23&lt;6,'Package Matrix'!$B$13,IF(D23&lt;12,'Package Matrix'!$B$14,IF(D23&lt;24,'Package Matrix'!$B$15,'Package Matrix'!$B$16))))</f>
        <v>0</v>
      </c>
      <c r="I23" s="15">
        <f t="shared" si="4"/>
        <v>0</v>
      </c>
      <c r="J23" s="13">
        <f t="shared" si="1"/>
        <v>400000</v>
      </c>
      <c r="K23" s="13">
        <f t="shared" si="2"/>
        <v>0</v>
      </c>
      <c r="L23" s="13">
        <f t="shared" si="3"/>
        <v>400000</v>
      </c>
      <c r="M23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24" spans="3:13" x14ac:dyDescent="0.3">
      <c r="C24" s="13">
        <v>400000</v>
      </c>
      <c r="F24">
        <f t="shared" si="0"/>
        <v>0</v>
      </c>
      <c r="G24" s="15">
        <f>IF(CustomerPricingLog[[#This Row],[Months Attended]]=0,0,IF(E24=1,'Package Matrix'!$B$4,IF(E24=3,'Package Matrix'!$B$5,IF(E24=6,'Package Matrix'!$B$6,IF(E24=12,'Package Matrix'!$B$7,0)))))</f>
        <v>0</v>
      </c>
      <c r="H24" s="15">
        <f>IF(D24&lt;3,'Package Matrix'!$B$12,IF(D24&lt;6,'Package Matrix'!$B$13,IF(D24&lt;12,'Package Matrix'!$B$14,IF(D24&lt;24,'Package Matrix'!$B$15,'Package Matrix'!$B$16))))</f>
        <v>0</v>
      </c>
      <c r="I24" s="15">
        <f t="shared" si="4"/>
        <v>0</v>
      </c>
      <c r="J24" s="13">
        <f t="shared" si="1"/>
        <v>400000</v>
      </c>
      <c r="K24" s="13">
        <f t="shared" si="2"/>
        <v>0</v>
      </c>
      <c r="L24" s="13">
        <f t="shared" si="3"/>
        <v>400000</v>
      </c>
      <c r="M24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25" spans="3:13" x14ac:dyDescent="0.3">
      <c r="C25" s="13">
        <v>400000</v>
      </c>
      <c r="F25">
        <f t="shared" si="0"/>
        <v>0</v>
      </c>
      <c r="G25" s="15">
        <f>IF(CustomerPricingLog[[#This Row],[Months Attended]]=0,0,IF(E25=1,'Package Matrix'!$B$4,IF(E25=3,'Package Matrix'!$B$5,IF(E25=6,'Package Matrix'!$B$6,IF(E25=12,'Package Matrix'!$B$7,0)))))</f>
        <v>0</v>
      </c>
      <c r="H25" s="15">
        <f>IF(D25&lt;3,'Package Matrix'!$B$12,IF(D25&lt;6,'Package Matrix'!$B$13,IF(D25&lt;12,'Package Matrix'!$B$14,IF(D25&lt;24,'Package Matrix'!$B$15,'Package Matrix'!$B$16))))</f>
        <v>0</v>
      </c>
      <c r="I25" s="15">
        <f t="shared" si="4"/>
        <v>0</v>
      </c>
      <c r="J25" s="13">
        <f t="shared" si="1"/>
        <v>400000</v>
      </c>
      <c r="K25" s="13">
        <f t="shared" si="2"/>
        <v>0</v>
      </c>
      <c r="L25" s="13">
        <f t="shared" si="3"/>
        <v>400000</v>
      </c>
      <c r="M25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26" spans="3:13" x14ac:dyDescent="0.3">
      <c r="C26" s="13">
        <v>400000</v>
      </c>
      <c r="F26">
        <f t="shared" si="0"/>
        <v>0</v>
      </c>
      <c r="G26" s="15">
        <f>IF(CustomerPricingLog[[#This Row],[Months Attended]]=0,0,IF(E26=1,'Package Matrix'!$B$4,IF(E26=3,'Package Matrix'!$B$5,IF(E26=6,'Package Matrix'!$B$6,IF(E26=12,'Package Matrix'!$B$7,0)))))</f>
        <v>0</v>
      </c>
      <c r="H26" s="15">
        <f>IF(D26&lt;3,'Package Matrix'!$B$12,IF(D26&lt;6,'Package Matrix'!$B$13,IF(D26&lt;12,'Package Matrix'!$B$14,IF(D26&lt;24,'Package Matrix'!$B$15,'Package Matrix'!$B$16))))</f>
        <v>0</v>
      </c>
      <c r="I26" s="15">
        <f t="shared" si="4"/>
        <v>0</v>
      </c>
      <c r="J26" s="13">
        <f t="shared" si="1"/>
        <v>400000</v>
      </c>
      <c r="K26" s="13">
        <f t="shared" si="2"/>
        <v>0</v>
      </c>
      <c r="L26" s="13">
        <f t="shared" si="3"/>
        <v>400000</v>
      </c>
      <c r="M26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27" spans="3:13" x14ac:dyDescent="0.3">
      <c r="C27" s="13">
        <v>400000</v>
      </c>
      <c r="F27">
        <f t="shared" si="0"/>
        <v>0</v>
      </c>
      <c r="G27" s="15">
        <f>IF(CustomerPricingLog[[#This Row],[Months Attended]]=0,0,IF(E27=1,'Package Matrix'!$B$4,IF(E27=3,'Package Matrix'!$B$5,IF(E27=6,'Package Matrix'!$B$6,IF(E27=12,'Package Matrix'!$B$7,0)))))</f>
        <v>0</v>
      </c>
      <c r="H27" s="15">
        <f>IF(D27&lt;3,'Package Matrix'!$B$12,IF(D27&lt;6,'Package Matrix'!$B$13,IF(D27&lt;12,'Package Matrix'!$B$14,IF(D27&lt;24,'Package Matrix'!$B$15,'Package Matrix'!$B$16))))</f>
        <v>0</v>
      </c>
      <c r="I27" s="15">
        <f t="shared" si="4"/>
        <v>0</v>
      </c>
      <c r="J27" s="13">
        <f t="shared" si="1"/>
        <v>400000</v>
      </c>
      <c r="K27" s="13">
        <f t="shared" si="2"/>
        <v>0</v>
      </c>
      <c r="L27" s="13">
        <f t="shared" si="3"/>
        <v>400000</v>
      </c>
      <c r="M27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28" spans="3:13" x14ac:dyDescent="0.3">
      <c r="C28" s="13">
        <v>400000</v>
      </c>
      <c r="F28">
        <f t="shared" si="0"/>
        <v>0</v>
      </c>
      <c r="G28" s="15">
        <f>IF(CustomerPricingLog[[#This Row],[Months Attended]]=0,0,IF(E28=1,'Package Matrix'!$B$4,IF(E28=3,'Package Matrix'!$B$5,IF(E28=6,'Package Matrix'!$B$6,IF(E28=12,'Package Matrix'!$B$7,0)))))</f>
        <v>0</v>
      </c>
      <c r="H28" s="15">
        <f>IF(D28&lt;3,'Package Matrix'!$B$12,IF(D28&lt;6,'Package Matrix'!$B$13,IF(D28&lt;12,'Package Matrix'!$B$14,IF(D28&lt;24,'Package Matrix'!$B$15,'Package Matrix'!$B$16))))</f>
        <v>0</v>
      </c>
      <c r="I28" s="15">
        <f t="shared" si="4"/>
        <v>0</v>
      </c>
      <c r="J28" s="13">
        <f t="shared" si="1"/>
        <v>400000</v>
      </c>
      <c r="K28" s="13">
        <f t="shared" si="2"/>
        <v>0</v>
      </c>
      <c r="L28" s="13">
        <f t="shared" si="3"/>
        <v>400000</v>
      </c>
      <c r="M28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29" spans="3:13" x14ac:dyDescent="0.3">
      <c r="C29" s="13">
        <v>400000</v>
      </c>
      <c r="F29">
        <f t="shared" si="0"/>
        <v>0</v>
      </c>
      <c r="G29" s="15">
        <f>IF(CustomerPricingLog[[#This Row],[Months Attended]]=0,0,IF(E29=1,'Package Matrix'!$B$4,IF(E29=3,'Package Matrix'!$B$5,IF(E29=6,'Package Matrix'!$B$6,IF(E29=12,'Package Matrix'!$B$7,0)))))</f>
        <v>0</v>
      </c>
      <c r="H29" s="15">
        <f>IF(D29&lt;3,'Package Matrix'!$B$12,IF(D29&lt;6,'Package Matrix'!$B$13,IF(D29&lt;12,'Package Matrix'!$B$14,IF(D29&lt;24,'Package Matrix'!$B$15,'Package Matrix'!$B$16))))</f>
        <v>0</v>
      </c>
      <c r="I29" s="15">
        <f t="shared" si="4"/>
        <v>0</v>
      </c>
      <c r="J29" s="13">
        <f t="shared" si="1"/>
        <v>400000</v>
      </c>
      <c r="K29" s="13">
        <f t="shared" si="2"/>
        <v>0</v>
      </c>
      <c r="L29" s="13">
        <f t="shared" si="3"/>
        <v>400000</v>
      </c>
      <c r="M29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30" spans="3:13" x14ac:dyDescent="0.3">
      <c r="C30" s="13">
        <v>400000</v>
      </c>
      <c r="F30">
        <f t="shared" si="0"/>
        <v>0</v>
      </c>
      <c r="G30" s="15">
        <f>IF(CustomerPricingLog[[#This Row],[Months Attended]]=0,0,IF(E30=1,'Package Matrix'!$B$4,IF(E30=3,'Package Matrix'!$B$5,IF(E30=6,'Package Matrix'!$B$6,IF(E30=12,'Package Matrix'!$B$7,0)))))</f>
        <v>0</v>
      </c>
      <c r="H30" s="15">
        <f>IF(D30&lt;3,'Package Matrix'!$B$12,IF(D30&lt;6,'Package Matrix'!$B$13,IF(D30&lt;12,'Package Matrix'!$B$14,IF(D30&lt;24,'Package Matrix'!$B$15,'Package Matrix'!$B$16))))</f>
        <v>0</v>
      </c>
      <c r="I30" s="15">
        <f t="shared" si="4"/>
        <v>0</v>
      </c>
      <c r="J30" s="13">
        <f t="shared" si="1"/>
        <v>400000</v>
      </c>
      <c r="K30" s="13">
        <f t="shared" si="2"/>
        <v>0</v>
      </c>
      <c r="L30" s="13">
        <f t="shared" si="3"/>
        <v>400000</v>
      </c>
      <c r="M30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31" spans="3:13" x14ac:dyDescent="0.3">
      <c r="C31" s="13">
        <v>400000</v>
      </c>
      <c r="F31">
        <f t="shared" si="0"/>
        <v>0</v>
      </c>
      <c r="G31" s="15">
        <f>IF(CustomerPricingLog[[#This Row],[Months Attended]]=0,0,IF(E31=1,'Package Matrix'!$B$4,IF(E31=3,'Package Matrix'!$B$5,IF(E31=6,'Package Matrix'!$B$6,IF(E31=12,'Package Matrix'!$B$7,0)))))</f>
        <v>0</v>
      </c>
      <c r="H31" s="15">
        <f>IF(D31&lt;3,'Package Matrix'!$B$12,IF(D31&lt;6,'Package Matrix'!$B$13,IF(D31&lt;12,'Package Matrix'!$B$14,IF(D31&lt;24,'Package Matrix'!$B$15,'Package Matrix'!$B$16))))</f>
        <v>0</v>
      </c>
      <c r="I31" s="15">
        <f t="shared" si="4"/>
        <v>0</v>
      </c>
      <c r="J31" s="13">
        <f t="shared" si="1"/>
        <v>400000</v>
      </c>
      <c r="K31" s="13">
        <f t="shared" si="2"/>
        <v>0</v>
      </c>
      <c r="L31" s="13">
        <f t="shared" si="3"/>
        <v>400000</v>
      </c>
      <c r="M31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32" spans="3:13" x14ac:dyDescent="0.3">
      <c r="C32" s="13">
        <v>400000</v>
      </c>
      <c r="F32">
        <f t="shared" si="0"/>
        <v>0</v>
      </c>
      <c r="G32" s="15">
        <f>IF(CustomerPricingLog[[#This Row],[Months Attended]]=0,0,IF(E32=1,'Package Matrix'!$B$4,IF(E32=3,'Package Matrix'!$B$5,IF(E32=6,'Package Matrix'!$B$6,IF(E32=12,'Package Matrix'!$B$7,0)))))</f>
        <v>0</v>
      </c>
      <c r="H32" s="15">
        <f>IF(D32&lt;3,'Package Matrix'!$B$12,IF(D32&lt;6,'Package Matrix'!$B$13,IF(D32&lt;12,'Package Matrix'!$B$14,IF(D32&lt;24,'Package Matrix'!$B$15,'Package Matrix'!$B$16))))</f>
        <v>0</v>
      </c>
      <c r="I32" s="15">
        <f t="shared" si="4"/>
        <v>0</v>
      </c>
      <c r="J32" s="13">
        <f t="shared" si="1"/>
        <v>400000</v>
      </c>
      <c r="K32" s="13">
        <f t="shared" si="2"/>
        <v>0</v>
      </c>
      <c r="L32" s="13">
        <f t="shared" si="3"/>
        <v>400000</v>
      </c>
      <c r="M32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33" spans="3:13" x14ac:dyDescent="0.3">
      <c r="C33" s="13">
        <v>400000</v>
      </c>
      <c r="F33">
        <f t="shared" si="0"/>
        <v>0</v>
      </c>
      <c r="G33" s="15">
        <f>IF(CustomerPricingLog[[#This Row],[Months Attended]]=0,0,IF(E33=1,'Package Matrix'!$B$4,IF(E33=3,'Package Matrix'!$B$5,IF(E33=6,'Package Matrix'!$B$6,IF(E33=12,'Package Matrix'!$B$7,0)))))</f>
        <v>0</v>
      </c>
      <c r="H33" s="15">
        <f>IF(D33&lt;3,'Package Matrix'!$B$12,IF(D33&lt;6,'Package Matrix'!$B$13,IF(D33&lt;12,'Package Matrix'!$B$14,IF(D33&lt;24,'Package Matrix'!$B$15,'Package Matrix'!$B$16))))</f>
        <v>0</v>
      </c>
      <c r="I33" s="15">
        <f t="shared" si="4"/>
        <v>0</v>
      </c>
      <c r="J33" s="13">
        <f t="shared" si="1"/>
        <v>400000</v>
      </c>
      <c r="K33" s="13">
        <f t="shared" si="2"/>
        <v>0</v>
      </c>
      <c r="L33" s="13">
        <f t="shared" si="3"/>
        <v>400000</v>
      </c>
      <c r="M33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34" spans="3:13" x14ac:dyDescent="0.3">
      <c r="C34" s="13">
        <v>400000</v>
      </c>
      <c r="F34">
        <f t="shared" ref="F34:F51" si="5">D34+E34</f>
        <v>0</v>
      </c>
      <c r="G34" s="15">
        <f>IF(CustomerPricingLog[[#This Row],[Months Attended]]=0,0,IF(E34=1,'Package Matrix'!$B$4,IF(E34=3,'Package Matrix'!$B$5,IF(E34=6,'Package Matrix'!$B$6,IF(E34=12,'Package Matrix'!$B$7,0)))))</f>
        <v>0</v>
      </c>
      <c r="H34" s="15">
        <f>IF(D34&lt;3,'Package Matrix'!$B$12,IF(D34&lt;6,'Package Matrix'!$B$13,IF(D34&lt;12,'Package Matrix'!$B$14,IF(D34&lt;24,'Package Matrix'!$B$15,'Package Matrix'!$B$16))))</f>
        <v>0</v>
      </c>
      <c r="I34" s="15">
        <f t="shared" ref="I34:I51" si="6">MIN(30%,G34+H34)</f>
        <v>0</v>
      </c>
      <c r="J34" s="13">
        <f t="shared" ref="J34:J51" si="7">C34*(1-I34)</f>
        <v>400000</v>
      </c>
      <c r="K34" s="13">
        <f t="shared" ref="K34:K51" si="8">J34*E34</f>
        <v>0</v>
      </c>
      <c r="L34" s="13">
        <f t="shared" ref="L34:L51" si="9">C34*(1-MIN(30%,IF(D34+E34&lt;3,0,IF(D34+E34&lt;6,3%,IF(D34+E34&lt;9,7%,IF(D34+E34&lt;12,10%,IF(D34+E34&lt;18,15%,IF(D34+E34&lt;24,20%,IF(D34+E34&lt;36,25%,30%)))))))))</f>
        <v>400000</v>
      </c>
      <c r="M34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35" spans="3:13" x14ac:dyDescent="0.3">
      <c r="C35" s="13">
        <v>400000</v>
      </c>
      <c r="F35">
        <f t="shared" si="5"/>
        <v>0</v>
      </c>
      <c r="G35" s="15">
        <f>IF(CustomerPricingLog[[#This Row],[Months Attended]]=0,0,IF(E35=1,'Package Matrix'!$B$4,IF(E35=3,'Package Matrix'!$B$5,IF(E35=6,'Package Matrix'!$B$6,IF(E35=12,'Package Matrix'!$B$7,0)))))</f>
        <v>0</v>
      </c>
      <c r="H35" s="15">
        <f>IF(D35&lt;3,'Package Matrix'!$B$12,IF(D35&lt;6,'Package Matrix'!$B$13,IF(D35&lt;12,'Package Matrix'!$B$14,IF(D35&lt;24,'Package Matrix'!$B$15,'Package Matrix'!$B$16))))</f>
        <v>0</v>
      </c>
      <c r="I35" s="15">
        <f t="shared" si="6"/>
        <v>0</v>
      </c>
      <c r="J35" s="13">
        <f t="shared" si="7"/>
        <v>400000</v>
      </c>
      <c r="K35" s="13">
        <f t="shared" si="8"/>
        <v>0</v>
      </c>
      <c r="L35" s="13">
        <f t="shared" si="9"/>
        <v>400000</v>
      </c>
      <c r="M35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36" spans="3:13" x14ac:dyDescent="0.3">
      <c r="C36" s="13">
        <v>400000</v>
      </c>
      <c r="F36">
        <f t="shared" si="5"/>
        <v>0</v>
      </c>
      <c r="G36" s="15">
        <f>IF(CustomerPricingLog[[#This Row],[Months Attended]]=0,0,IF(E36=1,'Package Matrix'!$B$4,IF(E36=3,'Package Matrix'!$B$5,IF(E36=6,'Package Matrix'!$B$6,IF(E36=12,'Package Matrix'!$B$7,0)))))</f>
        <v>0</v>
      </c>
      <c r="H36" s="15">
        <f>IF(D36&lt;3,'Package Matrix'!$B$12,IF(D36&lt;6,'Package Matrix'!$B$13,IF(D36&lt;12,'Package Matrix'!$B$14,IF(D36&lt;24,'Package Matrix'!$B$15,'Package Matrix'!$B$16))))</f>
        <v>0</v>
      </c>
      <c r="I36" s="15">
        <f t="shared" si="6"/>
        <v>0</v>
      </c>
      <c r="J36" s="13">
        <f t="shared" si="7"/>
        <v>400000</v>
      </c>
      <c r="K36" s="13">
        <f t="shared" si="8"/>
        <v>0</v>
      </c>
      <c r="L36" s="13">
        <f t="shared" si="9"/>
        <v>400000</v>
      </c>
      <c r="M36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37" spans="3:13" x14ac:dyDescent="0.3">
      <c r="C37" s="13">
        <v>400000</v>
      </c>
      <c r="F37">
        <f t="shared" si="5"/>
        <v>0</v>
      </c>
      <c r="G37" s="15">
        <f>IF(CustomerPricingLog[[#This Row],[Months Attended]]=0,0,IF(E37=1,'Package Matrix'!$B$4,IF(E37=3,'Package Matrix'!$B$5,IF(E37=6,'Package Matrix'!$B$6,IF(E37=12,'Package Matrix'!$B$7,0)))))</f>
        <v>0</v>
      </c>
      <c r="H37" s="15">
        <f>IF(D37&lt;3,'Package Matrix'!$B$12,IF(D37&lt;6,'Package Matrix'!$B$13,IF(D37&lt;12,'Package Matrix'!$B$14,IF(D37&lt;24,'Package Matrix'!$B$15,'Package Matrix'!$B$16))))</f>
        <v>0</v>
      </c>
      <c r="I37" s="15">
        <f t="shared" si="6"/>
        <v>0</v>
      </c>
      <c r="J37" s="13">
        <f t="shared" si="7"/>
        <v>400000</v>
      </c>
      <c r="K37" s="13">
        <f t="shared" si="8"/>
        <v>0</v>
      </c>
      <c r="L37" s="13">
        <f t="shared" si="9"/>
        <v>400000</v>
      </c>
      <c r="M37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38" spans="3:13" x14ac:dyDescent="0.3">
      <c r="C38" s="13">
        <v>400000</v>
      </c>
      <c r="F38">
        <f t="shared" si="5"/>
        <v>0</v>
      </c>
      <c r="G38" s="15">
        <f>IF(CustomerPricingLog[[#This Row],[Months Attended]]=0,0,IF(E38=1,'Package Matrix'!$B$4,IF(E38=3,'Package Matrix'!$B$5,IF(E38=6,'Package Matrix'!$B$6,IF(E38=12,'Package Matrix'!$B$7,0)))))</f>
        <v>0</v>
      </c>
      <c r="H38" s="15">
        <f>IF(D38&lt;3,'Package Matrix'!$B$12,IF(D38&lt;6,'Package Matrix'!$B$13,IF(D38&lt;12,'Package Matrix'!$B$14,IF(D38&lt;24,'Package Matrix'!$B$15,'Package Matrix'!$B$16))))</f>
        <v>0</v>
      </c>
      <c r="I38" s="15">
        <f t="shared" si="6"/>
        <v>0</v>
      </c>
      <c r="J38" s="13">
        <f t="shared" si="7"/>
        <v>400000</v>
      </c>
      <c r="K38" s="13">
        <f t="shared" si="8"/>
        <v>0</v>
      </c>
      <c r="L38" s="13">
        <f t="shared" si="9"/>
        <v>400000</v>
      </c>
      <c r="M38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39" spans="3:13" x14ac:dyDescent="0.3">
      <c r="C39" s="13">
        <v>400000</v>
      </c>
      <c r="F39">
        <f t="shared" si="5"/>
        <v>0</v>
      </c>
      <c r="G39" s="15">
        <f>IF(CustomerPricingLog[[#This Row],[Months Attended]]=0,0,IF(E39=1,'Package Matrix'!$B$4,IF(E39=3,'Package Matrix'!$B$5,IF(E39=6,'Package Matrix'!$B$6,IF(E39=12,'Package Matrix'!$B$7,0)))))</f>
        <v>0</v>
      </c>
      <c r="H39" s="15">
        <f>IF(D39&lt;3,'Package Matrix'!$B$12,IF(D39&lt;6,'Package Matrix'!$B$13,IF(D39&lt;12,'Package Matrix'!$B$14,IF(D39&lt;24,'Package Matrix'!$B$15,'Package Matrix'!$B$16))))</f>
        <v>0</v>
      </c>
      <c r="I39" s="15">
        <f t="shared" si="6"/>
        <v>0</v>
      </c>
      <c r="J39" s="13">
        <f t="shared" si="7"/>
        <v>400000</v>
      </c>
      <c r="K39" s="13">
        <f t="shared" si="8"/>
        <v>0</v>
      </c>
      <c r="L39" s="13">
        <f t="shared" si="9"/>
        <v>400000</v>
      </c>
      <c r="M39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0" spans="3:13" x14ac:dyDescent="0.3">
      <c r="C40" s="13">
        <v>400000</v>
      </c>
      <c r="F40">
        <f t="shared" si="5"/>
        <v>0</v>
      </c>
      <c r="G40" s="15">
        <f>IF(CustomerPricingLog[[#This Row],[Months Attended]]=0,0,IF(E40=1,'Package Matrix'!$B$4,IF(E40=3,'Package Matrix'!$B$5,IF(E40=6,'Package Matrix'!$B$6,IF(E40=12,'Package Matrix'!$B$7,0)))))</f>
        <v>0</v>
      </c>
      <c r="H40" s="15">
        <f>IF(D40&lt;3,'Package Matrix'!$B$12,IF(D40&lt;6,'Package Matrix'!$B$13,IF(D40&lt;12,'Package Matrix'!$B$14,IF(D40&lt;24,'Package Matrix'!$B$15,'Package Matrix'!$B$16))))</f>
        <v>0</v>
      </c>
      <c r="I40" s="15">
        <f t="shared" si="6"/>
        <v>0</v>
      </c>
      <c r="J40" s="13">
        <f t="shared" si="7"/>
        <v>400000</v>
      </c>
      <c r="K40" s="13">
        <f t="shared" si="8"/>
        <v>0</v>
      </c>
      <c r="L40" s="13">
        <f t="shared" si="9"/>
        <v>400000</v>
      </c>
      <c r="M40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1" spans="3:13" x14ac:dyDescent="0.3">
      <c r="C41" s="13">
        <v>400000</v>
      </c>
      <c r="F41">
        <f t="shared" si="5"/>
        <v>0</v>
      </c>
      <c r="G41" s="15">
        <f>IF(CustomerPricingLog[[#This Row],[Months Attended]]=0,0,IF(E41=1,'Package Matrix'!$B$4,IF(E41=3,'Package Matrix'!$B$5,IF(E41=6,'Package Matrix'!$B$6,IF(E41=12,'Package Matrix'!$B$7,0)))))</f>
        <v>0</v>
      </c>
      <c r="H41" s="15">
        <f>IF(D41&lt;3,'Package Matrix'!$B$12,IF(D41&lt;6,'Package Matrix'!$B$13,IF(D41&lt;12,'Package Matrix'!$B$14,IF(D41&lt;24,'Package Matrix'!$B$15,'Package Matrix'!$B$16))))</f>
        <v>0</v>
      </c>
      <c r="I41" s="15">
        <f t="shared" si="6"/>
        <v>0</v>
      </c>
      <c r="J41" s="13">
        <f t="shared" si="7"/>
        <v>400000</v>
      </c>
      <c r="K41" s="13">
        <f t="shared" si="8"/>
        <v>0</v>
      </c>
      <c r="L41" s="13">
        <f t="shared" si="9"/>
        <v>400000</v>
      </c>
      <c r="M41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2" spans="3:13" x14ac:dyDescent="0.3">
      <c r="C42" s="13">
        <v>400000</v>
      </c>
      <c r="F42">
        <f t="shared" si="5"/>
        <v>0</v>
      </c>
      <c r="G42" s="15">
        <f>IF(CustomerPricingLog[[#This Row],[Months Attended]]=0,0,IF(E42=1,'Package Matrix'!$B$4,IF(E42=3,'Package Matrix'!$B$5,IF(E42=6,'Package Matrix'!$B$6,IF(E42=12,'Package Matrix'!$B$7,0)))))</f>
        <v>0</v>
      </c>
      <c r="H42" s="15">
        <f>IF(D42&lt;3,'Package Matrix'!$B$12,IF(D42&lt;6,'Package Matrix'!$B$13,IF(D42&lt;12,'Package Matrix'!$B$14,IF(D42&lt;24,'Package Matrix'!$B$15,'Package Matrix'!$B$16))))</f>
        <v>0</v>
      </c>
      <c r="I42" s="15">
        <f t="shared" si="6"/>
        <v>0</v>
      </c>
      <c r="J42" s="13">
        <f t="shared" si="7"/>
        <v>400000</v>
      </c>
      <c r="K42" s="13">
        <f t="shared" si="8"/>
        <v>0</v>
      </c>
      <c r="L42" s="13">
        <f t="shared" si="9"/>
        <v>400000</v>
      </c>
      <c r="M42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3" spans="3:13" x14ac:dyDescent="0.3">
      <c r="C43" s="13">
        <v>400000</v>
      </c>
      <c r="F43">
        <f t="shared" si="5"/>
        <v>0</v>
      </c>
      <c r="G43" s="15">
        <f>IF(CustomerPricingLog[[#This Row],[Months Attended]]=0,0,IF(E43=1,'Package Matrix'!$B$4,IF(E43=3,'Package Matrix'!$B$5,IF(E43=6,'Package Matrix'!$B$6,IF(E43=12,'Package Matrix'!$B$7,0)))))</f>
        <v>0</v>
      </c>
      <c r="H43" s="15">
        <f>IF(D43&lt;3,'Package Matrix'!$B$12,IF(D43&lt;6,'Package Matrix'!$B$13,IF(D43&lt;12,'Package Matrix'!$B$14,IF(D43&lt;24,'Package Matrix'!$B$15,'Package Matrix'!$B$16))))</f>
        <v>0</v>
      </c>
      <c r="I43" s="15">
        <f t="shared" si="6"/>
        <v>0</v>
      </c>
      <c r="J43" s="13">
        <f t="shared" si="7"/>
        <v>400000</v>
      </c>
      <c r="K43" s="13">
        <f t="shared" si="8"/>
        <v>0</v>
      </c>
      <c r="L43" s="13">
        <f t="shared" si="9"/>
        <v>400000</v>
      </c>
      <c r="M43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4" spans="3:13" x14ac:dyDescent="0.3">
      <c r="C44" s="13">
        <v>400000</v>
      </c>
      <c r="F44">
        <f t="shared" si="5"/>
        <v>0</v>
      </c>
      <c r="G44" s="15">
        <f>IF(CustomerPricingLog[[#This Row],[Months Attended]]=0,0,IF(E44=1,'Package Matrix'!$B$4,IF(E44=3,'Package Matrix'!$B$5,IF(E44=6,'Package Matrix'!$B$6,IF(E44=12,'Package Matrix'!$B$7,0)))))</f>
        <v>0</v>
      </c>
      <c r="H44" s="15">
        <f>IF(D44&lt;3,'Package Matrix'!$B$12,IF(D44&lt;6,'Package Matrix'!$B$13,IF(D44&lt;12,'Package Matrix'!$B$14,IF(D44&lt;24,'Package Matrix'!$B$15,'Package Matrix'!$B$16))))</f>
        <v>0</v>
      </c>
      <c r="I44" s="15">
        <f t="shared" si="6"/>
        <v>0</v>
      </c>
      <c r="J44" s="13">
        <f t="shared" si="7"/>
        <v>400000</v>
      </c>
      <c r="K44" s="13">
        <f t="shared" si="8"/>
        <v>0</v>
      </c>
      <c r="L44" s="13">
        <f t="shared" si="9"/>
        <v>400000</v>
      </c>
      <c r="M44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5" spans="3:13" x14ac:dyDescent="0.3">
      <c r="C45" s="13">
        <v>400000</v>
      </c>
      <c r="F45">
        <f t="shared" si="5"/>
        <v>0</v>
      </c>
      <c r="G45" s="15">
        <f>IF(CustomerPricingLog[[#This Row],[Months Attended]]=0,0,IF(E45=1,'Package Matrix'!$B$4,IF(E45=3,'Package Matrix'!$B$5,IF(E45=6,'Package Matrix'!$B$6,IF(E45=12,'Package Matrix'!$B$7,0)))))</f>
        <v>0</v>
      </c>
      <c r="H45" s="15">
        <f>IF(D45&lt;3,'Package Matrix'!$B$12,IF(D45&lt;6,'Package Matrix'!$B$13,IF(D45&lt;12,'Package Matrix'!$B$14,IF(D45&lt;24,'Package Matrix'!$B$15,'Package Matrix'!$B$16))))</f>
        <v>0</v>
      </c>
      <c r="I45" s="15">
        <f t="shared" si="6"/>
        <v>0</v>
      </c>
      <c r="J45" s="13">
        <f t="shared" si="7"/>
        <v>400000</v>
      </c>
      <c r="K45" s="13">
        <f t="shared" si="8"/>
        <v>0</v>
      </c>
      <c r="L45" s="13">
        <f t="shared" si="9"/>
        <v>400000</v>
      </c>
      <c r="M45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6" spans="3:13" x14ac:dyDescent="0.3">
      <c r="C46" s="13">
        <v>400000</v>
      </c>
      <c r="F46">
        <f t="shared" si="5"/>
        <v>0</v>
      </c>
      <c r="G46" s="15">
        <f>IF(CustomerPricingLog[[#This Row],[Months Attended]]=0,0,IF(E46=1,'Package Matrix'!$B$4,IF(E46=3,'Package Matrix'!$B$5,IF(E46=6,'Package Matrix'!$B$6,IF(E46=12,'Package Matrix'!$B$7,0)))))</f>
        <v>0</v>
      </c>
      <c r="H46" s="15">
        <f>IF(D46&lt;3,'Package Matrix'!$B$12,IF(D46&lt;6,'Package Matrix'!$B$13,IF(D46&lt;12,'Package Matrix'!$B$14,IF(D46&lt;24,'Package Matrix'!$B$15,'Package Matrix'!$B$16))))</f>
        <v>0</v>
      </c>
      <c r="I46" s="15">
        <f t="shared" si="6"/>
        <v>0</v>
      </c>
      <c r="J46" s="13">
        <f t="shared" si="7"/>
        <v>400000</v>
      </c>
      <c r="K46" s="13">
        <f t="shared" si="8"/>
        <v>0</v>
      </c>
      <c r="L46" s="13">
        <f t="shared" si="9"/>
        <v>400000</v>
      </c>
      <c r="M46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7" spans="3:13" x14ac:dyDescent="0.3">
      <c r="C47" s="13">
        <v>400000</v>
      </c>
      <c r="F47">
        <f t="shared" si="5"/>
        <v>0</v>
      </c>
      <c r="G47" s="15">
        <f>IF(CustomerPricingLog[[#This Row],[Months Attended]]=0,0,IF(E47=1,'Package Matrix'!$B$4,IF(E47=3,'Package Matrix'!$B$5,IF(E47=6,'Package Matrix'!$B$6,IF(E47=12,'Package Matrix'!$B$7,0)))))</f>
        <v>0</v>
      </c>
      <c r="H47" s="15">
        <f>IF(D47&lt;3,'Package Matrix'!$B$12,IF(D47&lt;6,'Package Matrix'!$B$13,IF(D47&lt;12,'Package Matrix'!$B$14,IF(D47&lt;24,'Package Matrix'!$B$15,'Package Matrix'!$B$16))))</f>
        <v>0</v>
      </c>
      <c r="I47" s="15">
        <f t="shared" si="6"/>
        <v>0</v>
      </c>
      <c r="J47" s="13">
        <f t="shared" si="7"/>
        <v>400000</v>
      </c>
      <c r="K47" s="13">
        <f t="shared" si="8"/>
        <v>0</v>
      </c>
      <c r="L47" s="13">
        <f t="shared" si="9"/>
        <v>400000</v>
      </c>
      <c r="M47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8" spans="3:13" x14ac:dyDescent="0.3">
      <c r="C48" s="13">
        <v>400000</v>
      </c>
      <c r="F48">
        <f t="shared" si="5"/>
        <v>0</v>
      </c>
      <c r="G48" s="15">
        <f>IF(CustomerPricingLog[[#This Row],[Months Attended]]=0,0,IF(E48=1,'Package Matrix'!$B$4,IF(E48=3,'Package Matrix'!$B$5,IF(E48=6,'Package Matrix'!$B$6,IF(E48=12,'Package Matrix'!$B$7,0)))))</f>
        <v>0</v>
      </c>
      <c r="H48" s="15">
        <f>IF(D48&lt;3,'Package Matrix'!$B$12,IF(D48&lt;6,'Package Matrix'!$B$13,IF(D48&lt;12,'Package Matrix'!$B$14,IF(D48&lt;24,'Package Matrix'!$B$15,'Package Matrix'!$B$16))))</f>
        <v>0</v>
      </c>
      <c r="I48" s="15">
        <f t="shared" si="6"/>
        <v>0</v>
      </c>
      <c r="J48" s="13">
        <f t="shared" si="7"/>
        <v>400000</v>
      </c>
      <c r="K48" s="13">
        <f t="shared" si="8"/>
        <v>0</v>
      </c>
      <c r="L48" s="13">
        <f t="shared" si="9"/>
        <v>400000</v>
      </c>
      <c r="M48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49" spans="3:13" x14ac:dyDescent="0.3">
      <c r="C49" s="13">
        <v>400000</v>
      </c>
      <c r="F49">
        <f t="shared" si="5"/>
        <v>0</v>
      </c>
      <c r="G49" s="15">
        <f>IF(CustomerPricingLog[[#This Row],[Months Attended]]=0,0,IF(E49=1,'Package Matrix'!$B$4,IF(E49=3,'Package Matrix'!$B$5,IF(E49=6,'Package Matrix'!$B$6,IF(E49=12,'Package Matrix'!$B$7,0)))))</f>
        <v>0</v>
      </c>
      <c r="H49" s="15">
        <f>IF(D49&lt;3,'Package Matrix'!$B$12,IF(D49&lt;6,'Package Matrix'!$B$13,IF(D49&lt;12,'Package Matrix'!$B$14,IF(D49&lt;24,'Package Matrix'!$B$15,'Package Matrix'!$B$16))))</f>
        <v>0</v>
      </c>
      <c r="I49" s="15">
        <f t="shared" si="6"/>
        <v>0</v>
      </c>
      <c r="J49" s="13">
        <f t="shared" si="7"/>
        <v>400000</v>
      </c>
      <c r="K49" s="13">
        <f t="shared" si="8"/>
        <v>0</v>
      </c>
      <c r="L49" s="13">
        <f t="shared" si="9"/>
        <v>400000</v>
      </c>
      <c r="M49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50" spans="3:13" x14ac:dyDescent="0.3">
      <c r="C50" s="13">
        <v>400000</v>
      </c>
      <c r="F50">
        <f t="shared" si="5"/>
        <v>0</v>
      </c>
      <c r="G50" s="15">
        <f>IF(CustomerPricingLog[[#This Row],[Months Attended]]=0,0,IF(E50=1,'Package Matrix'!$B$4,IF(E50=3,'Package Matrix'!$B$5,IF(E50=6,'Package Matrix'!$B$6,IF(E50=12,'Package Matrix'!$B$7,0)))))</f>
        <v>0</v>
      </c>
      <c r="H50" s="15">
        <f>IF(D50&lt;3,'Package Matrix'!$B$12,IF(D50&lt;6,'Package Matrix'!$B$13,IF(D50&lt;12,'Package Matrix'!$B$14,IF(D50&lt;24,'Package Matrix'!$B$15,'Package Matrix'!$B$16))))</f>
        <v>0</v>
      </c>
      <c r="I50" s="15">
        <f t="shared" si="6"/>
        <v>0</v>
      </c>
      <c r="J50" s="13">
        <f t="shared" si="7"/>
        <v>400000</v>
      </c>
      <c r="K50" s="13">
        <f t="shared" si="8"/>
        <v>0</v>
      </c>
      <c r="L50" s="13">
        <f t="shared" si="9"/>
        <v>400000</v>
      </c>
      <c r="M50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  <row r="51" spans="3:13" x14ac:dyDescent="0.3">
      <c r="C51" s="13">
        <v>400000</v>
      </c>
      <c r="F51">
        <f t="shared" si="5"/>
        <v>0</v>
      </c>
      <c r="G51" s="15">
        <f>IF(CustomerPricingLog[[#This Row],[Months Attended]]=0,0,IF(E51=1,'Package Matrix'!$B$4,IF(E51=3,'Package Matrix'!$B$5,IF(E51=6,'Package Matrix'!$B$6,IF(E51=12,'Package Matrix'!$B$7,0)))))</f>
        <v>0</v>
      </c>
      <c r="H51" s="15">
        <f>IF(D51&lt;3,'Package Matrix'!$B$12,IF(D51&lt;6,'Package Matrix'!$B$13,IF(D51&lt;12,'Package Matrix'!$B$14,IF(D51&lt;24,'Package Matrix'!$B$15,'Package Matrix'!$B$16))))</f>
        <v>0</v>
      </c>
      <c r="I51" s="15">
        <f t="shared" si="6"/>
        <v>0</v>
      </c>
      <c r="J51" s="13">
        <f t="shared" si="7"/>
        <v>400000</v>
      </c>
      <c r="K51" s="13">
        <f t="shared" si="8"/>
        <v>0</v>
      </c>
      <c r="L51" s="13">
        <f t="shared" si="9"/>
        <v>400000</v>
      </c>
      <c r="M51" t="str">
        <f>IF(CustomerPricingLog[[#This Row],[Months Attended]]&lt;3,"Starter",IF(CustomerPricingLog[[#This Row],[Months Attended]]&lt;6,"Growing",IF(CustomerPricingLog[[#This Row],[Months Attended]]&lt;9,"Committed",IF(CustomerPricingLog[[#This Row],[Months Attended]]&lt;12,"Loyal",IF(CustomerPricingLog[[#This Row],[Months Attended]]&lt;18,"Long-Term",IF(CustomerPricingLog[[#This Row],[Months Attended]]&lt;60,"Premium Loyal"))))))</f>
        <v>Starter</v>
      </c>
    </row>
  </sheetData>
  <conditionalFormatting sqref="I2:I51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1">
    <dataValidation type="list" allowBlank="1" sqref="E2:E51" xr:uid="{00000000-0002-0000-0200-000000000000}">
      <formula1>"1,3,6,12"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Pricing Calculator</vt:lpstr>
      <vt:lpstr>Instructions</vt:lpstr>
      <vt:lpstr>Package Matrix</vt:lpstr>
      <vt:lpstr>Customer Pricing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undraaaaa undraaaa</cp:lastModifiedBy>
  <cp:revision/>
  <dcterms:created xsi:type="dcterms:W3CDTF">2026-08-31T03:31:47Z</dcterms:created>
  <dcterms:modified xsi:type="dcterms:W3CDTF">2026-09-15T10:12:32Z</dcterms:modified>
  <cp:category/>
  <cp:contentStatus/>
</cp:coreProperties>
</file>